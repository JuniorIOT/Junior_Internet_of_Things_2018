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84" activeTab="1"/>
  </bookViews>
  <sheets>
    <sheet name="HowTo" sheetId="1" r:id="rId1"/>
    <sheet name="data" sheetId="2" r:id="rId2"/>
    <sheet name="grafieken" sheetId="5" r:id="rId3"/>
    <sheet name="Blad1" sheetId="6" r:id="rId4"/>
    <sheet name="2610 interesting poznan measure" sheetId="7" r:id="rId5"/>
  </sheets>
  <definedNames>
    <definedName name="_xlnm._FilterDatabase" localSheetId="1" hidden="1">data!$A$1:$L$4395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N52" i="7" l="1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0" i="7"/>
  <c r="N19" i="7"/>
  <c r="N21" i="7"/>
  <c r="G25" i="6" l="1"/>
  <c r="G22" i="6"/>
  <c r="G19" i="6"/>
  <c r="G20" i="6" s="1"/>
  <c r="G18" i="6"/>
  <c r="G17" i="6"/>
  <c r="G13" i="6"/>
  <c r="G10" i="6"/>
  <c r="G11" i="6" s="1"/>
  <c r="G12" i="6" s="1"/>
  <c r="C9" i="1" l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<sst xmlns="http://schemas.openxmlformats.org/spreadsheetml/2006/main" count="479" uniqueCount="292">
  <si>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</si>
  <si>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</si>
  <si>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</si>
  <si>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</si>
  <si>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</si>
  <si>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</si>
  <si>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</si>
  <si>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ballon</t>
  </si>
  <si>
    <t>time: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</si>
  <si>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</si>
  <si>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</si>
  <si>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</si>
  <si>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</si>
  <si>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</si>
  <si>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</si>
  <si>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</si>
  <si>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</si>
  <si>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</si>
  <si>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</si>
  <si>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</si>
  <si>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</si>
  <si>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</si>
  <si>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</si>
  <si>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</si>
  <si>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</si>
  <si>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</si>
  <si>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</si>
  <si>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</si>
  <si>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</si>
  <si>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</si>
  <si>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</si>
  <si>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</si>
  <si>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</si>
  <si>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</si>
  <si>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</si>
  <si>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</si>
  <si>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</si>
  <si>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</si>
  <si>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</si>
  <si>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</si>
  <si>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</si>
  <si>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</si>
  <si>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</si>
  <si>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</si>
  <si>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</si>
  <si>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</si>
  <si>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</si>
  <si>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</si>
  <si>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</si>
  <si>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</si>
  <si>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</si>
  <si>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</si>
  <si>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</si>
  <si>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</si>
  <si>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</si>
  <si>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</si>
  <si>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</si>
  <si>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</si>
  <si>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</si>
  <si>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</si>
  <si>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</si>
  <si>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</si>
  <si>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</si>
  <si>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</si>
  <si>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ttn-account-v2.KoVQeKqz0T2BCYRnaYpsYd95WkMLFLrJ1WXfpYHazBo</t>
  </si>
  <si>
    <t>lora32u4-nummer-vijf</t>
  </si>
  <si>
    <t>lora32u4-nummer-vier</t>
  </si>
  <si>
    <t>lora32u4-nummer-twee</t>
  </si>
  <si>
    <t xml:space="preserve">const long shift_lat     =    90L * 10000000L;                 // range shift from -90..90 into 0..180, note: </t>
  </si>
  <si>
    <t xml:space="preserve">  const long max_old_lat   =   180L * 10000000L;                 // max value for lat is now 180</t>
  </si>
  <si>
    <t xml:space="preserve">  const long max_3byte     =         16777215;                   // max value that fits in 3 bytes</t>
  </si>
  <si>
    <t xml:space="preserve">  double lat_float         = l_lat;                              // put 4byte LONG into a more precise floating point to prevent rounding during calcs </t>
  </si>
  <si>
    <t xml:space="preserve">  lat_float = (lat_float + shift_lat) * max_3byte / max_old_lat; // rescale into 3 byte integer range</t>
  </si>
  <si>
    <t xml:space="preserve">  uint32_t LatitudeBinary  = lat_float;                          // clips off anything after the decimal point    </t>
  </si>
  <si>
    <t xml:space="preserve">  const long shift_lon     =   180L * 10000000L;                 // range shift from -180..180 into 0..360</t>
  </si>
  <si>
    <t xml:space="preserve">  const long max_old_lon   = 360L * 10000000L;                   // max value longitude is now 360, note</t>
  </si>
  <si>
    <t xml:space="preserve">  double lon_float = l_lon;                                      // put the 4byte LONG into a precise floating point memory space</t>
  </si>
  <si>
    <t xml:space="preserve">  lon_float = (lon_float + shift_lon) * max_3byte / max_old_lon; // rescale into 3 byte integer range</t>
  </si>
  <si>
    <t xml:space="preserve">  uint32_t LongitudeBinary = lon_float;                          // clips off anything after the decimal point  </t>
  </si>
  <si>
    <t xml:space="preserve">  uint16_t altitudeBinary  = l_alt    ;                          // we want altitudeGps in meters, note:</t>
  </si>
  <si>
    <t xml:space="preserve">  if (l_alt&lt;0) altitudeBinary=0;                                 // unsigned int wil not allow negative values and warps them to huge number  </t>
  </si>
  <si>
    <t xml:space="preserve">  uint8_t HdopBinary = hdopNumber/100;   </t>
  </si>
  <si>
    <t>lat</t>
  </si>
  <si>
    <t>long</t>
  </si>
  <si>
    <t>my gps readings</t>
  </si>
  <si>
    <t>alt</t>
  </si>
  <si>
    <t>hdop</t>
  </si>
  <si>
    <t xml:space="preserve"> </t>
  </si>
  <si>
    <t xml:space="preserve"> shift_lat </t>
  </si>
  <si>
    <t xml:space="preserve">  max_old_lat </t>
  </si>
  <si>
    <t xml:space="preserve">  max_3byte </t>
  </si>
  <si>
    <t xml:space="preserve">  l_lat </t>
  </si>
  <si>
    <t xml:space="preserve">  lat_float </t>
  </si>
  <si>
    <t xml:space="preserve">  LatitudeBinary </t>
  </si>
  <si>
    <t xml:space="preserve">  shift_lon </t>
  </si>
  <si>
    <t xml:space="preserve">  max_old_lon</t>
  </si>
  <si>
    <t xml:space="preserve">  l_lon </t>
  </si>
  <si>
    <t xml:space="preserve">  lon_float </t>
  </si>
  <si>
    <t xml:space="preserve">  LongitudeBinary </t>
  </si>
  <si>
    <t xml:space="preserve">  l_alt </t>
  </si>
  <si>
    <t xml:space="preserve">  altitudeBinary </t>
  </si>
  <si>
    <t xml:space="preserve">  hdopNumber </t>
  </si>
  <si>
    <t xml:space="preserve">  HdopBinary </t>
  </si>
  <si>
    <t>on arduino:</t>
  </si>
  <si>
    <t>myLoraWanData = [87 7C 49 67 33 A0 02 A6 17 00 00 00 00 00 00 00 00 00 00 00 00 00 00 00 00 00 00 00 00 00  .. ]</t>
  </si>
  <si>
    <t>myLoraWanData = [87 7C 49 80 56 44 02 A6 17 00 00 00 00 00 00 00 00 00 00 00 00 00 00 00 00 00 00 00 00 00  .. ]</t>
  </si>
  <si>
    <t>lora32u4-nummer-een</t>
  </si>
  <si>
    <t>lora32u4-nummer-drie</t>
  </si>
  <si>
    <t>prevLat</t>
  </si>
  <si>
    <t>prevLon</t>
  </si>
  <si>
    <t>hDop</t>
  </si>
  <si>
    <t>Vbatt (volt)</t>
  </si>
  <si>
    <t>compass</t>
  </si>
  <si>
    <t>myBtn</t>
  </si>
  <si>
    <t>datasetType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</si>
  <si>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52.63269559339855,"gps_lng":4.738015218854855,"gps_prec":null,"gps_prevlat":-90,"gps_prevlng":-180,"myBtn":0,"myID":0,"payload":"ca da fa.83 5e 87.0 0.6/29 0 5b b6/0 0 0.0 0 0.0/0 0 0 ..","raw":"ytr6g16HAAAGKQBbtgAAAAAAAAAAAAAAAAAAAAAAAAAAAAAAAAAA","time":"2017-10-25T03:36:06.73029878Z","time_to_fix":null</t>
  </si>
  <si>
    <t>ca da fa.83 5e 87.0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</si>
  <si>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-6,"compass":123,"dataSetType":0,"device_id":"lora32u4-nummer-drie","gps_alt":0,"gps_hdop":0.6,"gps_lat":52.632727779908635,"gps_lng":4.738015218854855,"gps_prec":null,"gps_prevlat":-90,"gps_prevlng":-180,"myBtn":0,"myID":0,"payload":"ca da fd.83 5e 87.0 0.6/29 0 5e b2/0 0 0.0 0 0.0/0 0 0 ..","raw":"ytr9g16HAAAGKQBesgAAAAAAAAAAAAAAAAAAAAAAAAAAAAAAAAAA","time":"2017-10-25T03:40:03.405849358Z","time_to_fix":null</t>
  </si>
  <si>
    <t>ca da fd.83 5e 87.0 0.6/29 0 5e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</si>
  <si>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3.66,"arduino_temp":-9,"compass":123,"dataSetType":0,"device_id":"lora32u4-nummer-twee","gps_alt":1,"gps_hdop":0.6,"gps_lat":52.63269559339855,"gps_lng":4.738015218854855,"gps_prec":null,"gps_prevlat":-90,"gps_prevlng":-180,"myBtn":0,"myID":0,"payload":"ca da fa.83 5e 87.0 1.6/29 37 5b b7/0 0 0.0 0 0.0/0 0 0 ..","raw":"ytr6g16HAAEGKTdbtwAAAAAAAAAAAAAAAAAAAAAAAAAAAAAAAAAA","time":"2017-10-25T03:40:09.790928231Z","time_to_fix":null</t>
  </si>
  <si>
    <t>ca da fa.83 5e 87.0 1.6/29 37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</si>
  <si>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-8,"compass":123,"dataSetType":0,"device_id":"lora32u4-nummer-vier","gps_alt":0,"gps_hdop":0.6,"gps_lat":52.632620491541644,"gps_lng":4.738079591875021,"gps_prec":null,"gps_prevlat":-90,"gps_prevlng":-180,"myBtn":0,"myID":0,"payload":"ca da f3.83 5e 8a.0 0.6/29 0 5c b6/0 0 0.0 0 0.0/0 0 0 ..","raw":"ytrzg16KAAAGKQBctgAAAAAAAAAAAAAAAAAAAAAAAAAAAAAAAAAA","time":"2017-10-25T03:40:45.537099231Z","time_to_fix":null</t>
  </si>
  <si>
    <t>ca da f3.83 5e 8a.0 0.6/29 0 5c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</si>
  <si>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-7,"compass":123,"dataSetType":0,"device_id":"lora32u4-nummer-drie","gps_alt":0,"gps_hdop":1,"gps_lat":52.63269559339855,"gps_lng":4.738015218854855,"gps_prec":null,"gps_prevlat":-90,"gps_prevlng":-180,"myBtn":0,"myID":0,"payload":"ca da fa.83 5e 87.0 0.a/29 0 5d ad/0 0 0.0 0 0.0/0 0 0 ..","raw":"ytr6g16HAAAKKQBdrQAAAAAAAAAAAAAAAAAAAAAAAAAAAAAAAAAA","time":"2017-10-25T03:44:06.610987985Z","time_to_fix":null</t>
  </si>
  <si>
    <t>ca da fa.83 5e 87.0 0.a/29 0 5d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</si>
  <si>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52.63268486456184,"gps_lng":4.737972303508059,"gps_prec":null,"gps_prevlat":-90,"gps_prevlng":-180,"myBtn":0,"myID":0,"payload":"ca da f9.83 5e 85.0 0.6/29 0 5b b6/0 0 0.0 0 0.0/0 0 0 ..","raw":"ytr5g16FAAAGKQBbtgAAAAAAAAAAAAAAAAAAAAAAAAAAAAAAAAAA","time":"2017-10-25T03:44:12.837254282Z","time_to_fix":null</t>
  </si>
  <si>
    <t>ca da f9.83 5e 85.0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</si>
  <si>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0.7,"gps_lat":52.63263122037836,"gps_lng":4.738015218854855,"gps_prec":null,"gps_prevlat":-90,"gps_prevlng":-180,"myBtn":0,"myID":0,"payload":"ca da f4.83 5e 87.0 0.7/29 0 5c b8/0 0 0.0 0 0.0/0 0 0 ..","raw":"ytr0g16HAAAHKQBcuAAAAAAAAAAAAAAAAAAAAAAAAAAAAAAAAAAA","time":"2017-10-25T03:44:48.568655479Z","time_to_fix":null</t>
  </si>
  <si>
    <t>ca da f4.83 5e 87.0 0.7/29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</si>
  <si>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52.63271705107195,"gps_lng":4.738015218854855,"gps_prec":null,"gps_prevlat":-90,"gps_prevlng":-180,"myBtn":0,"myID":0,"payload":"ca da fc.83 5e 87.0 0.6/29 0 5d b1/0 0 0.0 0 0.0/0 0 0 ..","raw":"ytr8g16HAAAGKQBdsQAAAAAAAAAAAAAAAAAAAAAAAAAAAAAAAAAA","time":"2017-10-25T03:52:12.494737013Z","time_to_fix":null</t>
  </si>
  <si>
    <t>ca da fc.83 5e 87.0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</si>
  <si>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0.8,"gps_lat":52.63267413572515,"gps_lng":4.738036676528225,"gps_prec":null,"gps_prevlat":-90,"gps_prevlng":-180,"myBtn":0,"myID":0,"payload":"ca da f8.83 5e 88.0 0.8/29 37 5b b6/0 0 0.0 0 0.0/0 0 0 ..","raw":"ytr4g16IAAAIKTdbtgAAAAAAAAAAAAAAAAAAAAAAAAAAAAAAAAAA","time":"2017-10-25T03:52:18.937365831Z","time_to_fix":null</t>
  </si>
  <si>
    <t>ca da f8.83 5e 88.0 0.8/29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</si>
  <si>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-9,"compass":123,"dataSetType":0,"device_id":"lora32u4-nummer-vier","gps_alt":0,"gps_hdop":0.6,"gps_lat":52.63256684735816,"gps_lng":4.738015218854855,"gps_prec":null,"gps_prevlat":-90,"gps_prevlng":-180,"myBtn":0,"myID":0,"payload":"ca da ee.83 5e 87.0 0.6/29 0 5b ba/0 0 0.0 0 0.0/0 0 0 ..","raw":"ytrug16HAAAGKQBbugAAAAAAAAAAAAAAAAAAAAAAAAAAAAAAAAAA","time":"2017-10-25T03:52:54.632690805Z","time_to_fix":null</t>
  </si>
  <si>
    <t>ca da ee.83 5e 87.0 0.6/29 0 5b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</si>
  <si>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52.61901632660724,"gps_lng":4.731663747529012,"gps_prec":null,"gps_prevlat":-90,"gps_prevlng":-180,"myBtn":0,"myID":0,"payload":"ca d5 ff.83 5d 5f.0 0.6/29 0 5d b1/0 0 0.0 0 0.0/0 0 0 ..","raw":"ytX/g11fAAAGKQBdsQAAAAAAAAAAAAAAAAAAAAAAAAAAAAAAAAAA","time":"2017-10-25T03:56:15.529597368Z","time_to_fix":null</t>
  </si>
  <si>
    <t>ca d5 ff.83 5d 5f.0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</si>
  <si>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52.33866109482415,"gps_lng":4.877232603861842,"gps_prec":null,"gps_prevlat":-90,"gps_prevlng":-180,"myBtn":0,"myID":0,"payload":"ca 6f ec.83 77 df.0 0.7/29 0 5d b1/0 0 0.0 0 0.0/0 0 0 ..","raw":"ym/sg3ffAAAHKQBdsQAAAAAAAAAAAAAAAAAAAAAAAAAAAAAAAAAA","time":"2017-10-25T04:20:33.890928301Z","time_to_fix":null</t>
  </si>
  <si>
    <t>ca 6f ec.83 77 df.0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</si>
  <si>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0.6,"gps_lat":52.33861817947735,"gps_lng":4.8798289823429855,"gps_prec":null,"gps_prevlat":-90,"gps_prevlng":-180,"myBtn":0,"myID":0,"payload":"ca 6f e8.83 78 58.0 0.6/29 37 5b b6/0 0 0.0 0 0.0/0 0 0 ..","raw":"ym/og3hYAAAGKTdbtgAAAAAAAAAAAAAAAAAAAAAAAAAAAAAAAAAA","time":"2017-10-25T04:20:40.439926487Z","time_to_fix":null</t>
  </si>
  <si>
    <t>ca 6f e8.83 78 58.0 0.6/29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</si>
  <si>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-9,"compass":123,"dataSetType":0,"device_id":"lora32u4-nummer-twee","gps_alt":0,"gps_hdop":0.6,"gps_lat":52.35014095009214,"gps_lng":4.964801368999531,"gps_prec":null,"gps_prevlat":-90,"gps_prevlng":-180,"myBtn":0,"myID":0,"payload":"ca 74 1a.83 87 d0.0 0.6/29 0 5b b3/0 0 0.0 0 0.0/0 0 0 ..","raw":"ynQag4fQAAAGKQBbswAAAAAAAAAAAAAAAAAAAAAAAAAAAAAAAAAA","time":"2017-10-25T04:24:43.322889982Z","time_to_fix":null</t>
  </si>
  <si>
    <t>ca 74 1a.83 87 d0.0 0.6/29 0 5b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</si>
  <si>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-9,"compass":123,"dataSetType":0,"device_id":"lora32u4-nummer-twee","gps_alt":0,"gps_hdop":0.7,"gps_lat":52.23111523575278,"gps_lng":6.165851722112421,"gps_prec":null,"gps_prevlat":-90,"gps_prevlng":-180,"myBtn":0,"myID":0,"payload":"ca 48 c4.84 62 75.0 0.7/29 0 5b b2/0 0 0.0 0 0.0/0 0 0 ..","raw":"ykjEhGJ1AAAHKQBbsgAAAAAAAAAAAAAAAAAAAAAAAAAAAAAAAAAA","time":"2017-10-25T05:13:19.852405609Z","time_to_fix":null</t>
  </si>
  <si>
    <t>ca 48 c4.84 62 75.0 0.7/29 0 5b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</si>
  <si>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0.6,"gps_lat":52.28464140204437,"gps_lng":6.746560737285677,"gps_prec":null,"gps_prevlat":-90,"gps_prevlng":-180,"myBtn":0,"myID":0,"payload":"ca 5c 41.84 cc 2c.0 0.6/29 0 5c b8/0 0 0.0 0 0.0/0 0 0 ..","raw":"ylxBhMwsAAAGKQBcuAAAAAAAAAAAAAAAAAAAAAAAAAAAAAAAAAAA","time":"2017-10-25T05:34:10.572345103Z","time_to_fix":null</t>
  </si>
  <si>
    <t>ca 5c 41.84 cc 2c.0 0.6/29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</si>
  <si>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vier","gps_alt":7,"gps_hdop":0.5,"gps_lat":52.45602383947514,"gps_lng":16.954619702972167,"gps_prec":null,"gps_prevlat":-90,"gps_prevlng":-180,"myBtn":0,"myID":0,"payload":"ca 9a a7.8c e 7e.0 7.5/29 0 5d b1/0 0 0.0 0 0.0/0 0 0 ..","raw":"ypqnjA5+AAcFKQBdsQAAAAAAAAAAAAAAAAAAAAAAAAAAAAAAAAAA","time":"2017-10-26T16:01:09.839871376Z","time_to_fix":null</t>
  </si>
  <si>
    <t>ca 9a a7.8c e 7e.0 7.5/29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</si>
  <si>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-9,"compass":123,"dataSetType":0,"device_id":"lora32u4-nummer-drie","gps_alt":67,"gps_hdop":20.2,"gps_lat":-5.36441834242396e-06,"gps_lng":-1.072883668484792e-05,"gps_prec":null,"gps_prevlat":-90,"gps_prevlng":-180,"myBtn":0,"myID":0,"payload":"7f ff ff.7f ff ff.0 43.ca/29 0 5b ae/0 0 0.0 0 0.0/0 0 0 ..","raw":"f///f///AEPKKQBbrgAAAAAAAAAAAAAAAAAAAAAAAAAAAAAAAAAA","time":"2017-10-26T16:02:24.53553263Z","time_to_fix":null</t>
  </si>
  <si>
    <t>7f ff ff.7f ff ff.0 43.ca/29 0 5b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</si>
  <si>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0.04,"arduino_temp":59,"compass":123,"dataSetType":0,"device_id":"lora32u4-nummer-twee","gps_alt":67,"gps_hdop":20.2,"gps_lat":-5.36441834242396e-06,"gps_lng":-1.072883668484792e-05,"gps_prec":null,"gps_prevlat":-90,"gps_prevlng":-180,"myBtn":0,"myID":0,"payload":"7f ff ff.7f ff ff.0 43.ca/29 37 9f 2/0 0 0.0 0 0.0/0 0 0 ..","raw":"f///f///AEPKKTefAgAAAAAAAAAAAAAAAAAAAAAAAAAAAAAAAAAA","time":"2017-10-26T16:02:24.924513557Z","time_to_fix":null</t>
  </si>
  <si>
    <t>7f ff ff.7f ff ff.0 43.ca/29 37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</si>
  <si>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0.04,"arduino_temp":59,"compass":123,"dataSetType":0,"device_id":"lora32u4-nummer-twee","gps_alt":11,"gps_hdop":2.6,"gps_lat":52.45701089245145,"gps_lng":16.955306348520907,"gps_prec":null,"gps_prevlat":-90,"gps_prevlng":-180,"myBtn":0,"myID":0,"payload":"ca 9b 3.8c e 9e.0 b.1a/29 0 9f 2/0 0 0.0 0 0.0/0 0 0 ..","raw":"ypsDjA6eAAsaKQCfAgAAAAAAAAAAAAAAAAAAAAAAAAAAAAAAAAAA","time":"2017-10-26T16:02:42.331329854Z","time_to_fix":null</t>
  </si>
  <si>
    <t>ca 9b 3.8c e 9e.0 b.1a/29 0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</si>
  <si>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0.6,"gps_lat":52.45656028131009,"gps_lng":16.95526343317411,"gps_prec":null,"gps_prevlat":-90,"gps_prevlng":-180,"myBtn":0,"myID":0,"payload":"ca 9a d9.8c e 9c.0 7.6/29 37 5b ac/0 0 0.0 0 0.0/0 0 0 ..","raw":"yprZjA6cAAcGKTdbrAAAAAAAAAAAAAAAAAAAAAAAAAAAAAAAAAAA","time":"2017-10-26T16:04:10.454102988Z","time_to_fix":null</t>
  </si>
  <si>
    <t>ca 9a d9.8c e 9c.0 7.6/29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</si>
  <si>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3.52,"arduino_temp":60,"compass":123,"dataSetType":0,"device_id":"lora32u4-nummer-vier","gps_alt":7,"gps_hdop":0.6,"gps_lat":52.4566139254936,"gps_lng":16.955220517827314,"gps_prec":null,"gps_prevlat":-90,"gps_prevlng":-180,"myBtn":0,"myID":0,"payload":"ca 9a de.8c e 9a.0 7.6/29 37 a0 b0/0 0 0.0 0 0.0/0 0 0 ..","raw":"yprejA6aAAcGKTegsAAAAAAAAAAAAAAAAAAAAAAAAAAAAAAAAAAA","time":"2017-10-26T16:04:28.036795161Z","time_to_fix":null</t>
  </si>
  <si>
    <t>ca 9a de.8c e 9a.0 7.6/29 37 a0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</si>
  <si>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3.48,"arduino_temp":60,"compass":123,"dataSetType":0,"device_id":"lora32u4-nummer-vier","gps_alt":6,"gps_hdop":0.6,"gps_lat":52.45658173898349,"gps_lng":16.955241975500712,"gps_prec":null,"gps_prevlat":-90,"gps_prevlng":-180,"myBtn":0,"myID":0,"payload":"ca 9a db.8c e 9b.0 6.6/29 37 a0 ae/0 0 0.0 0 0.0/0 0 0 ..","raw":"yprbjA6bAAYGKTegrgAAAAAAAAAAAAAAAAAAAAAAAAAAAAAAAAAA","time":"2017-10-26T16:04:45.640839284Z","time_to_fix":null</t>
  </si>
  <si>
    <t>ca 9a db.8c e 9b.0 6.6/29 37 a0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</si>
  <si>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0.5,"gps_lat":52.45669975618719,"gps_lng":16.9553707215411,"gps_prec":null,"gps_prevlat":-90,"gps_prevlng":-180,"myBtn":0,"myID":0,"payload":"ca 9a e6.8c e a1.0 6.5/29 37 a0 ac/0 0 0.0 0 0.0/0 0 0 ..","raw":"yprmjA6hAAYFKTegrAAAAAAAAAAAAAAAAAAAAAAAAAAAAAAAAAAA","time":"2017-10-26T16:05:03.565639721Z","time_to_fix":null</t>
  </si>
  <si>
    <t>ca 9a e6.8c e a1.0 6.5/29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</si>
  <si>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52.45672121386059,"gps_lng":16.95528489084751,"gps_prec":null,"gps_prevlat":-90,"gps_prevlng":-180,"myBtn":0,"myID":0,"payload":"ca 9a e8.8c e 9d.0 6.5/29 37 a0 b2/0 0 0.0 0 0.0/0 0 0 ..","raw":"yprojA6dAAYFKTegsgAAAAAAAAAAAAAAAAAAAAAAAAAAAAAAAAAA","time":"2017-10-26T16:05:21.178419328Z","time_to_fix":null</t>
  </si>
  <si>
    <t>ca 9a e8.8c e 9d.0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</si>
  <si>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0.6,"gps_lat":52.45672121386059,"gps_lng":16.95528489084751,"gps_prec":null,"gps_prevlat":-90,"gps_prevlng":-180,"myBtn":0,"myID":0,"payload":"ca 9a e8.8c e 9d.0 6.6/29 0 5b ac/0 0 0.0 0 0.0/0 0 0 ..","raw":"yprojA6dAAYGKQBbrAAAAAAAAAAAAAAAAAAAAAAAAAAAAAAAAAAA","time":"2017-10-26T16:05:39.106880405Z","time_to_fix":null</t>
  </si>
  <si>
    <t>ca 9a e8.8c e 9d.0 6.6/29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</si>
  <si>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0.5,"gps_lat":52.45672121386059,"gps_lng":16.95513468713372,"gps_prec":null,"gps_prevlat":-90,"gps_prevlng":-180,"myBtn":0,"myID":0,"payload":"ca 9a e8.8c e 96.0 6.5/29 0 5b ac/0 0 0.0 0 0.0/0 0 0 ..","raw":"yprojA6WAAYFKQBbrAAAAAAAAAAAAAAAAAAAAAAAAAAAAAAAAAAA","time":"2017-10-26T16:05:56.716739037Z","time_to_fix":null</t>
  </si>
  <si>
    <t>ca 9a e8.8c e 96.0 6.5/29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</si>
  <si>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ac/0 0 0.0 0 0.0/0 0 0 ..","raw":"yprojA6VAAYGKTegrAAAAAAAAAAAAAAAAAAAAAAAAAAAAAAAAAAA","time":"2017-10-26T16:06:14.637565155Z","time_to_fix":null</t>
  </si>
  <si>
    <t>ca 9a e8.8c e 95.0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</si>
  <si>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b1/0 0 0.0 0 0.0/0 0 0 ..","raw":"yprojA6VAAYGKTegsQAAAAAAAAAAAAAAAAAAAAAAAAAAAAAAAAAA","time":"2017-10-26T16:06:32.24678944Z","time_to_fix":null</t>
  </si>
  <si>
    <t>ca 9a e8.8c e 95.0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</si>
  <si>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16.955091771786925,"gps_prec":null,"gps_prevlat":-90,"gps_prevlng":-180,"myBtn":0,"myID":0,"payload":"ca 9a e8.8c e 94.0 6.6/29 37 a0 ac/0 0 0.0 0 0.0/0 0 0 ..","raw":"yprojA6UAAYGKTegrAAAAAAAAAAAAAAAAAAAAAAAAAAAAAAAAAAA","time":"2017-10-26T16:06:50.175920931Z","time_to_fix":null</t>
  </si>
  <si>
    <t>ca 9a e8.8c e 94.0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</si>
  <si>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52.45672121386059,"gps_lng":16.955091771786925,"gps_prec":null,"gps_prevlat":-90,"gps_prevlng":-180,"myBtn":0,"myID":0,"payload":"ca 9a e8.8c e 94.0 7.7/29 37 a0 b2/0 0 0.0 0 0.0/0 0 0 ..","raw":"yprojA6UAAcHKTegsgAAAAAAAAAAAAAAAAAAAAAAAAAAAAAAAAAA","time":"2017-10-26T16:07:07.775345581Z","time_to_fix":null</t>
  </si>
  <si>
    <t>ca 9a e8.8c e 94.0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</si>
  <si>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7,"gps_hdop":0.6,"gps_lat":52.45672121386059,"gps_lng":16.955070314113527,"gps_prec":null,"gps_prevlat":-90,"gps_prevlng":-180,"myBtn":0,"myID":0,"payload":"ca 9a e8.8c e 93.0 7.6/29 37 a0 ac/0 0 0.0 0 0.0/0 0 0 ..","raw":"yprojA6TAAcGKTegrAAAAAAAAAAAAAAAAAAAAAAAAAAAAAAAAAAA","time":"2017-10-26T16:07:25.700227224Z","time_to_fix":null</t>
  </si>
  <si>
    <t>ca 9a e8.8c e 93.0 7.6/29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</si>
  <si>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3.44,"arduino_temp":-9,"compass":123,"dataSetType":0,"device_id":"lora32u4-nummer-vier","gps_alt":6,"gps_hdop":0.6,"gps_lat":52.456710485023876,"gps_lng":16.955091771786925,"gps_prec":null,"gps_prevlat":-90,"gps_prevlng":-180,"myBtn":0,"myID":0,"payload":"ca 9a e7.8c e 94.0 6.6/29 55 5b ac/0 0 0.0 0 0.0/0 0 0 ..","raw":"yprnjA6UAAYGKVVbrAAAAAAAAAAAAAAAAAAAAAAAAAAAAAAAAAAA","time":"2017-10-26T16:07:43.314582175Z","time_to_fix":null</t>
  </si>
  <si>
    <t>ca 9a e7.8c e 94.0 6.6/29 55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</si>
  <si>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52.45669975618719,"gps_lng":16.95504885644013,"gps_prec":null,"gps_prevlat":-90,"gps_prevlng":-180,"myBtn":0,"myID":0,"payload":"ca 9a e6.8c e 92.0 6.5/29 37 5b ac/0 0 0.0 0 0.0/0 0 0 ..","raw":"yprmjA6SAAYFKTdbrAAAAAAAAAAAAAAAAAAAAAAAAAAAAAAAAAAA","time":"2017-10-26T16:08:18.848705617Z","time_to_fix":null</t>
  </si>
  <si>
    <t>ca 9a e6.8c e 92.0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</si>
  <si>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52.45667829851379,"gps_lng":16.95528489084751,"gps_prec":null,"gps_prevlat":-90,"gps_prevlng":-180,"myBtn":0,"myID":0,"payload":"ca 9a e4.8c e 9d.0 6.6/29 37 a0 b1/0 0 0.0 0 0.0/0 0 0 ..","raw":"yprkjA6dAAYGKTegsQAAAAAAAAAAAAAAAAAAAAAAAAAAAAAAAAAA","time":"2017-10-26T16:08:54.39195953Z","time_to_fix":null</t>
  </si>
  <si>
    <t>ca 9a e4.8c e 9d.0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</si>
  <si>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6,"gps_hdop":0.6,"gps_lat":52.45621695853572,"gps_lng":16.954748449012556,"gps_prec":null,"gps_prevlat":-90,"gps_prevlng":-180,"myBtn":0,"myID":0,"payload":"ca 9a b9.8c e 84.0 6.6/29 37 5b ab/0 0 0.0 0 0.0/0 0 0 ..","raw":"ypq5jA6EAAYGKTdbqwAAAAAAAAAAAAAAAAAAAAAAAAAAAAAAAAAA","time":"2017-10-26T16:09:11.997131271Z","time_to_fix":null</t>
  </si>
  <si>
    <t>ca 9a b9.8c e 84.0 6.6/29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</si>
  <si>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0.7,"gps_lat":52.455229905559406,"gps_lng":16.953847226729835,"gps_prec":null,"gps_prevlat":-90,"gps_prevlng":-180,"myBtn":0,"myID":0,"payload":"ca 9a 5d.8c e 5a.0 6.7/29 0 5b ab/0 0 0.0 0 0.0/0 0 0 ..","raw":"yppdjA5aAAYHKQBbqwAAAAAAAAAAAAAAAAAAAAAAAAAAAAAAAAAA","time":"2017-10-26T16:09:29.925567641Z","time_to_fix":null</t>
  </si>
  <si>
    <t>ca 9a 5d.8c e 5a.0 6.7/29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</si>
  <si>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52.4541784795629,"gps_lng":16.953246411874687,"gps_prec":null,"gps_prevlat":-90,"gps_prevlng":-180,"myBtn":0,"myID":0,"payload":"ca 99 fb.8c e 3e.0 6.6/29 37 5b ac/0 0 0.0 0 0.0/0 0 0 ..","raw":"ypn7jA4+AAYGKTdbrAAAAAAAAAAAAAAAAAAAAAAAAAAAAAAAAAAA","time":"2017-10-26T16:09:47.541358309Z","time_to_fix":null</t>
  </si>
  <si>
    <t>ca 99 fb.8c e 3e.0 6.6/29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</si>
  <si>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52.45407119119591,"gps_lng":16.95470553366576,"gps_prec":null,"gps_prevlat":-90,"gps_prevlng":-180,"myBtn":0,"myID":0,"payload":"ca 99 f1.8c e 82.0 6.5/29 37 a0 b2/0 0 0.0 0 0.0/0 0 0 ..","raw":"ypnxjA6CAAYFKTegsgAAAAAAAAAAAAAAAAAAAAAAAAAAAAAAAAAA","time":"2017-10-26T16:10:05.448723192Z","time_to_fix":null</t>
  </si>
  <si>
    <t>ca 99 f1.8c e 82.0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</si>
  <si>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52.454039004685825,"gps_lng":16.955435094561295,"gps_prec":null,"gps_prevlat":-90,"gps_prevlng":-180,"myBtn":0,"myID":0,"payload":"ca 99 ee.8c e a4.0 7.6/29 37 5b ab/0 0 0.0 0 0.0/0 0 0 ..","raw":"ypnujA6kAAcGKTdbqwAAAAAAAAAAAAAAAAAAAAAAAAAAAAAAAAAA","time":"2017-10-26T16:10:23.070267776Z","time_to_fix":null</t>
  </si>
  <si>
    <t>ca 99 ee.8c e a4.0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</si>
  <si>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0.6,"gps_lat":52.45402827584911,"gps_lng":16.956722554965182,"gps_prec":null,"gps_prevlat":-90,"gps_prevlng":-180,"myBtn":0,"myID":0,"payload":"ca 99 ed.8c e e0.0 7.6/29 37 a0 b2/0 0 0.0 0 0.0/0 0 0 ..","raw":"ypntjA7gAAcGKTegsgAAAAAAAAAAAAAAAAAAAAAAAAAAAAAAAAAA","time":"2017-10-26T16:10:40.670639666Z","time_to_fix":null</t>
  </si>
  <si>
    <t>ca 99 ed.8c e e0.0 7.6/29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</si>
  <si>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7,"gps_hdop":0.7,"gps_lat":52.45404973352251,"gps_lng":16.95528489084751,"gps_prec":null,"gps_prevlat":-90,"gps_prevlng":-180,"myBtn":0,"myID":0,"payload":"ca 99 ef.8c e 9d.0 7.7/29 0 5b ab/0 0 0.0 0 0.0/0 0 0 ..","raw":"ypnvjA6dAAcHKQBbqwAAAAAAAAAAAAAAAAAAAAAAAAAAAAAAAAAA","time":"2017-10-26T16:11:16.205352076Z","time_to_fix":null</t>
  </si>
  <si>
    <t>ca 99 ef.8c e 9d.0 7.7/29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</si>
  <si>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0.5,"gps_lat":52.4541355642161,"gps_lng":16.953396615588474,"gps_prec":null,"gps_prevlat":-90,"gps_prevlng":-180,"myBtn":0,"myID":0,"payload":"ca 99 f7.8c e 45.0 7.5/29 37 5b ac/0 0 0.0 0 0.0/0 0 0 ..","raw":"ypn3jA5FAAcFKTdbrAAAAAAAAAAAAAAAAAAAAAAAAAAAAAAAAAAA","time":"2017-10-26T16:11:34.135281714Z","time_to_fix":null</t>
  </si>
  <si>
    <t>ca 99 f7.8c e 45.0 7.5/29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</si>
  <si>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7,"gps_hdop":0.5,"gps_lat":52.453459647504076,"gps_lng":16.952817258406725,"gps_prec":null,"gps_prevlat":-90,"gps_prevlng":-180,"myBtn":0,"myID":0,"payload":"ca 99 b8.8c e 2a.0 7.5/29 37 a0 b1/0 0 0.0 0 0.0/0 0 0 ..","raw":"ypm4jA4qAAcFKTegsQAAAAAAAAAAAAAAAAAAAAAAAAAAAAAAAAAA","time":"2017-10-26T16:11:51.745404831Z","time_to_fix":null</t>
  </si>
  <si>
    <t>ca 99 b8.8c e 2a.0 7.5/29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</si>
  <si>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0.6,"gps_lat":52.451657202938634,"gps_lng":16.951701459390023,"gps_prec":null,"gps_prevlat":-90,"gps_prevlng":-180,"myBtn":0,"myID":0,"payload":"ca 99 10.8c d f6.0 6.6/29 0 5b ab/0 0 0.0 0 0.0/0 0 0 ..","raw":"ypkQjA32AAYGKQBbqwAAAAAAAAAAAAAAAAAAAAAAAAAAAAAAAAAA","time":"2017-10-26T16:12:27.282567811Z","time_to_fix":null</t>
  </si>
  <si>
    <t>ca 99 10.8c d f6.0 6.6/29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</si>
  <si>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8,"gps_hdop":0.6,"gps_lat":52.45271935777183,"gps_lng":16.950049218538368,"gps_prec":null,"gps_prevlat":-90,"gps_prevlng":-180,"myBtn":0,"myID":0,"payload":"ca 99 73.8c d a9.0 8.6/29 37 5b ab/0 0 0.0 0 0.0/0 0 0 ..","raw":"yplzjA2pAAgGKTdbqwAAAAAAAAAAAAAAAAAAAAAAAAAAAAAAAAAA","time":"2017-10-26T16:15:07.021464818Z","time_to_fix":null</t>
  </si>
  <si>
    <t>ca 99 73.8c d a9.0 8.6/29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</si>
  <si>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52.45280518846542,"gps_lng":16.950778779433904,"gps_prec":null,"gps_prevlat":-90,"gps_prevlng":-180,"myBtn":0,"myID":0,"payload":"ca 99 7b.8c d cb.0 7.7/29 37 a0 b2/0 0 0.0 0 0.0/0 0 0 ..","raw":"ypl7jA3LAAcHKTegsgAAAAAAAAAAAAAAAAAAAAAAAAAAAAAAAAAA","time":"2017-10-26T16:15:24.946091409Z","time_to_fix":null</t>
  </si>
  <si>
    <t>ca 99 7b.8c d cb.0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</si>
  <si>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52.45283737497553,"gps_lng":16.952452477958957,"gps_prec":null,"gps_prevlat":-90,"gps_prevlng":-180,"myBtn":0,"myID":0,"payload":"ca 99 7e.8c e 19.0 7.6/29 37 5b ab/0 0 0.0 0 0.0/0 0 0 ..","raw":"ypl+jA4ZAAcGKTdbqwAAAAAAAAAAAAAAAAAAAAAAAAAAAAAAAAAA","time":"2017-10-26T16:16:00.489818609Z","time_to_fix":null</t>
  </si>
  <si>
    <t>ca 99 7e.8c e 19.0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</si>
  <si>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60,"compass":123,"dataSetType":0,"device_id":"lora32u4-nummer-vier","gps_alt":7,"gps_hdop":0.5,"gps_lat":52.454328683276685,"gps_lng":16.953375157915076,"gps_prec":null,"gps_prevlat":-90,"gps_prevlng":-180,"myBtn":0,"myID":0,"payload":"ca 9a 9.8c e 44.0 7.5/29 0 a0 ac/0 0 0.0 0 0.0/0 0 0 ..","raw":"ypoJjA5EAAcFKQCgrAAAAAAAAAAAAAAAAAAAAAAAAAAAAAAAAAAA","time":"2017-10-26T16:16:35.789833704Z","time_to_fix":null</t>
  </si>
  <si>
    <t>ca 9a 9.8c e 44.0 7.5/29 0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</si>
  <si>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52.45469346372445,"gps_lng":16.947924908871954,"gps_prec":null,"gps_prevlat":-90,"gps_prevlng":-180,"myBtn":0,"myID":0,"payload":"ca 9a 2b.8c d 46.0 6.5/29 37 5b ac/0 0 0.0 0 0.0/0 0 0 ..","raw":"yporjA1GAAYFKTdbrAAAAAAAAAAAAAAAAAAAAAAAAAAAAAAAAAAA","time":"2017-10-26T16:18:22.301857731Z","time_to_fix":null</t>
  </si>
  <si>
    <t>ca 9a 2b.8c d 46.0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</si>
  <si>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52.45469346372445,"gps_lng":16.947881993525158,"gps_prec":null,"gps_prevlat":-90,"gps_prevlng":-180,"myBtn":0,"myID":0,"payload":"ca 9a 2b.8c d 44.0 6.6/29 37 5b ac/0 0 0.0 0 0.0/0 0 0 ..","raw":"yporjA1EAAYGKTdbrAAAAAAAAAAAAAAAAAAAAAAAAAAAAAAAAAAA","time":"2017-10-26T16:18:40.238069179Z","time_to_fix":null</t>
  </si>
  <si>
    <t>ca 9a 2b.8c d 44.0 6.6/29 37 5b ac/0 0 0.0 0 0.0/0 0 0 ..</t>
  </si>
  <si>
    <t>x</t>
  </si>
  <si>
    <t>boot to first beeb</t>
  </si>
  <si>
    <t>2x boot to first beeb</t>
  </si>
  <si>
    <t>prevAlt</t>
  </si>
  <si>
    <t>prevHdop</t>
  </si>
  <si>
    <t>r ID</t>
  </si>
  <si>
    <t>r SSN</t>
  </si>
  <si>
    <t>r Lat</t>
  </si>
  <si>
    <t>r Lon</t>
  </si>
  <si>
    <t>r compass</t>
  </si>
  <si>
    <t>r btn</t>
  </si>
  <si>
    <t>r Dist</t>
  </si>
  <si>
    <t>r HitMe</t>
  </si>
  <si>
    <t>Counter</t>
  </si>
  <si>
    <t>7f ff ff 7f ff ff 02 a6 ca 00 00 00 00 00 00 00 00 00 37 9f c6 4b 41 00 00 00 00 00 00 00 00 00 00 00 00 00 00 00</t>
  </si>
  <si>
    <t>{"arduino_VCC":1.1,"arduino_Vbat":4.46,"arduino_tempCPU":60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a0 df 4b 41 00 00 00 00 00 00 00 00 00 00 00 00 00 00 00","raw":"f///f///AqbKAAAAAAAAAAAAN6DfS0EAAAAAAAAAAAAAAAAAAAA=","remoteID":0,"remote_Btn":0,"remote_DidHitMe":0,"remote_compass":0,"remote_distance":0,"remote_lat":-90,"remote_lng":-180,"remote_radioSSN":0,"time":"2017-11-14T20:39:27.997664005Z"</t>
  </si>
  <si>
    <t>7f ff ff 7f ff ff 02 a6 ca 00 00 00 00 00 00 00 00 00 37 a0 df 4b 41 00 00 00 00 00 00 00 00 00 00 00 00 00 00 00</t>
  </si>
  <si>
    <t>{"arduino_VCC":0,"arduino_Vbat":4.22,"arduino_tempCPU":60,"compass":225,"counter":0,"dataSetType":1,"device_id":"lora32u4-nummer-een","gps_alt":678,"gps_hdop":20.2,"gps_lat":-5.36441834242396e-06,"gps_lng":-1.072883668484792e-05,"gps_prev_alt":0,"gps_prev_hdop":0,"gps_prev_lat":-90,"gps_prev_lng":-180,"myBtn":0,"myID":1,"payload":"7f ff ff 7f ff ff 02 a6 ca 00 00 00 00 00 00 00 00 00 00 a0 d3 4b 11 00 00 00 00 00 00 00 00 00 00 00 00 00 00 00","raw":"f///f///AqbKAAAAAAAAAAAAAKDTSxEAAAAAAAAAAAAAAAAAAAA=","remoteID":0,"remote_Btn":0,"remote_DidHitMe":0,"remote_compass":0,"remote_distance":0,"remote_lat":-90,"remote_lng":-180,"remote_radioSSN":0,"time":"2017-11-14T20:41:40.207214129Z"</t>
  </si>
  <si>
    <t>7f ff ff 7f ff ff 02 a6 ca 00 00 00 00 00 00 00 00 00 00 a0 d3 4b 11 00 00 00 00 00 00 00 00 00 00 00 00 00 00 00</t>
  </si>
  <si>
    <t>{"arduino_VCC":1.1,"arduino_Vbat":4.42,"arduino_tempCPU":-9,"compass":225,"counter":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dd 4b 11 00 01 00 00 00 00 00 00 00 00 00 00 00 00 00","raw":"f///f///AqbKf///f///AqbKN1vdSxEAAQAAAAAAAAAAAAAAAAA=","remoteID":0,"remote_Btn":0,"remote_DidHitMe":0,"remote_compass":0,"remote_distance":0,"remote_lat":-90,"remote_lng":-180,"remote_radioSSN":0,"time":"2017-11-14T20:45:51.368634346Z"</t>
  </si>
  <si>
    <t>7f ff ff 7f ff ff 02 a6 ca 7f ff ff 7f ff ff 02 a6 ca 37 5b dd 4b 11 00 01 00 00 00 00 00 00 00 00 00 00 00 00 00</t>
  </si>
  <si>
    <t>{"arduino_VCC":1.7,"arduino_Vbat":4.3,"arduino_tempCPU":-6,"compass":225,"counter":70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00 46 00 00 00 00 00 00 00 00 00 00 00 00 00","raw":"f///f///AqbKf///f///AqbKVV7XS1EARgAAAAAAAAAAAAAAAAA=","remoteID":0,"remote_Btn":0,"remote_DidHitMe":0,"remote_compass":0,"remote_distance":0,"remote_lat":-90,"remote_lng":-180,"remote_radioSSN":0,"time":"2017-11-14T20:49:07.564930692Z"</t>
  </si>
  <si>
    <t>7f ff ff 7f ff ff 02 a6 ca 7f ff ff 7f ff ff 02 a6 ca 55 5e d7 4b 51 00 46 00 00 00 00 00 00 00 00 00 00 00 00 00</t>
  </si>
  <si>
    <t>{"arduino_VCC":1.1,"arduino_Vbat":4.14,"arduino_tempCPU":60,"compass":288,"counter":50,"dataSetType":1,"device_id":"lora32u4-nummer-twee","gps_alt":0,"gps_hdop":0.7,"gps_lat":52.632599033868246,"gps_lng":4.738401456976021,"gps_prev_alt":0,"gps_prev_hdop":0.8,"gps_prev_lat":52.63266340688844,"gps_prev_lng":4.738422914649391,"myBtn":0,"myID":2,"payload":"ca da f1 83 5e 99 00 00 07 ca da f7 83 5e 9a 00 00 08 37 a0 cf 60 21 00 32 00 00 00 00 00 00 00 00 00 00 00 00 00","raw":"ytrxg16ZAAAHytr3g16aAAAIN6DPYCEAMgAAAAAAAAAAAAAAAAA=","remoteID":0,"remote_Btn":0,"remote_DidHitMe":0,"remote_compass":0,"remote_distance":0,"remote_lat":-90,"remote_lng":-180,"remote_radioSSN":0,"time":"2017-11-14T20:51:19.446431411Z"</t>
  </si>
  <si>
    <t>ca da f1 83 5e 99 00 00 07 ca da f7 83 5e 9a 00 00 08 37 a0 cf 60 21 00 32 00 00 00 00 00 00 00 00 00 00 00 00 00</t>
  </si>
  <si>
    <t>ca da f8 83 5e 9a 00 00 0a 7f ff ff 7f ff ff 02 a6 ca 37 5b e0 4b 11 00 01 00 00 00 00 00 00 00 00 00 00 00 00 00</t>
  </si>
  <si>
    <t>{"arduino_VCC":1.1,"arduino_Vbat":4.48,"arduino_tempCPU":-9,"compass":225,"counter":1,"dataSetType":1,"device_id":"lora32u4-nummer-een","gps_alt":0,"gps_hdop":1,"gps_lat":52.63267413572515,"gps_lng":4.738422914649391,"gps_prev_alt":678,"gps_prev_hdop":20.2,"gps_prev_lat":-5.36441834242396e-06,"gps_prev_lng":-1.072883668484792e-05,"myBtn":0,"myID":1,"payload":"ca da f8 83 5e 9a 00 00 0a 7f ff ff 7f ff ff 02 a6 ca 37 5b e0 4b 11 00 01 00 00 00 00 00 00 00 00 00 00 00 00 00","raw":"ytr4g16aAAAKf///f///AqbKN1vgSxEAAQAAAAAAAAAAAAAAAAA=","remoteID":0,"remote_Btn":0,"remote_DidHitMe":0,"remote_compass":0,"remote_distance":0,"remote_lat":-90,"remote_lng":-180,"remote_radioSSN":0,"time":"2017-11-14T20:51:51.497559616Z"</t>
  </si>
  <si>
    <t>ca da f3 83 5e 9f 00 00 0b ca da f8 83 5e 9a 00 00 0a 37 5b e0 4b 11 00 02 00 00 00 00 00 00 00 00 00 00 00 00 00</t>
  </si>
  <si>
    <t>{"arduino_VCC":1.1,"arduino_Vbat":4.48,"arduino_tempCPU":-9,"compass":225,"counter":2,"dataSetType":1,"device_id":"lora32u4-nummer-een","gps_alt":0,"gps_hdop":1.1,"gps_lat":52.632620491541644,"gps_lng":4.73853020301641,"gps_prev_alt":0,"gps_prev_hdop":1,"gps_prev_lat":52.63267413572515,"gps_prev_lng":4.738422914649391,"myBtn":0,"myID":1,"payload":"ca da f3 83 5e 9f 00 00 0b ca da f8 83 5e 9a 00 00 0a 37 5b e0 4b 11 00 02 00 00 00 00 00 00 00 00 00 00 00 00 00","raw":"ytrzg16fAAALytr4g16aAAAKN1vgSxEAAgAAAAAAAAAAAAAAAAA=","remoteID":0,"remote_Btn":0,"remote_DidHitMe":0,"remote_compass":0,"remote_distance":0,"remote_lat":-90,"remote_lng":-180,"remote_radioSSN":0,"time":"2017-11-14T20:55:52.560234726Z"</t>
  </si>
  <si>
    <t>ca da f8 83 5e 8b 00 15 07 ca da f3 83 5e 8d 00 0a 08 00 5c c2 4b 41 00 2a 00 00 00 00 00 00 00 00 00 00 00 00 00</t>
  </si>
  <si>
    <t>myGameID</t>
  </si>
  <si>
    <t>{"arduino_VCC":0,"arduino_Vbat":3.88,"arduino_tempCPU":-8,"compass":225,"counter":42,"dataSetType":1,"device_id":"lora32u4-nummer-vier","gps_alt":21,"gps_hdop":0.7,"gps_lat":52.63267413572515,"gps_lng":4.7381010495484475,"gps_prev_alt":10,"gps_prev_hdop":0.8,"gps_prev_lat":52.632620491541644,"gps_prev_lng":4.738143964895244,"myBtn":0,"myID":4,"payload":"ca da f8 83 5e 8b 00 15 07 ca da f3 83 5e 8d 00 0a 08 00 5c c2 4b 41 00 2a 00 00 00 00 00 00 00 00 00 00 00 00 00","raw":"ytr4g16LABUHytrzg16NAAoIAFzCS0EAKgAAAAAAAAAAAAAAAAA=","remoteID":0,"remote_Btn":0,"remote_DidHitMe":0,"remote_compass":0,"remote_distance":0,"remote_lat":-90,"remote_lng":-180,"remote_radioSSN":0,"time":"2017-11-14T20:57:20.503915704Z"</t>
  </si>
  <si>
    <t>{"arduino_VCC":0,"arduino_Vbat":4.14,"arduino_tempCPU":57,"compass":354,"counter":52,"dataSetType":1,"device_id":"lora32u4-nummer-twee","gps_alt":0,"gps_hdop":0.6,"gps_lat":52.63252393201137,"gps_lng":4.738358541629225,"gps_prev_alt":0,"gps_prev_hdop":0.7,"gps_prev_lat":52.63260976270496,"gps_prev_lng":4.738379999302595,"myBtn":0,"myID":2,"payload":"ca da ea 83 5e 97 00 00 06 ca da f2 83 5e 98 00 00 07 00 9d cf 76 21 00 34 00 00 00 00 00 00 00 00 00 00 00 00 00","raw":"ytrqg16XAAAGytryg16YAAAHAJ3PdiEANAAAAAAAAAAAAAAAAAA=","remoteID":0,"remote_Btn":0,"remote_DidHitMe":0,"remote_compass":0,"remote_distance":0,"remote_lat":-90,"remote_lng":-180,"remote_radioSSN":0,"time":"2017-11-14T20:59:49.446997435Z"</t>
  </si>
  <si>
    <t>ca da ea 83 5e 97 00 00 06 ca da f2 83 5e 98 00 00 07 00 9d cf 76 21 00 34 00 00 00 00 00 00 00 00 00 00 00 00 00</t>
  </si>
  <si>
    <t>ca da ed 83 5e 98 00 00 09 ca da f3 83 5e 9f 00 00 0b 37 5b db 4b 11 00 03 00 00 00 00 00 00 00 00 00 00 00 00 00</t>
  </si>
  <si>
    <t>{"arduino_VCC":1.1,"arduino_Vbat":4.38,"arduino_tempCPU":-9,"compass":225,"counter":3,"dataSetType":1,"device_id":"lora32u4-nummer-een","gps_alt":0,"gps_hdop":0.9,"gps_lat":52.63255611852145,"gps_lng":4.738379999302595,"gps_prev_alt":0,"gps_prev_hdop":1.1,"gps_prev_lat":52.632620491541644,"gps_prev_lng":4.73853020301641,"myBtn":0,"myID":1,"payload":"ca da ed 83 5e 98 00 00 09 ca da f3 83 5e 9f 00 00 0b 37 5b db 4b 11 00 03 00 00 00 00 00 00 00 00 00 00 00 00 00","raw":"ytrtg16YAAAJytrzg16fAAALN1vbSxEAAwAAAAAAAAAAAAAAAAA=","remoteID":0,"remote_Btn":0,"remote_DidHitMe":0,"remote_compass":0,"remote_distance":0,"remote_lat":-90,"remote_lng":-180,"remote_radioSSN":0,"time":"2017-11-14T20:59:53.622584947Z"</t>
  </si>
  <si>
    <t>7f ff ff 7f ff ff 02 a6 ca 7f ff ff 7f ff ff 02 a6 ca 00 5d da 4b 51 00 49 00 00 00 00 00 00 00 00 00 00 00 00 00</t>
  </si>
  <si>
    <t>{"arduino_VCC":0,"arduino_Vbat":4.36,"arduino_tempCPU":-7,"compass":225,"counter":73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49 00 00 00 00 00 00 00 00 00 00 00 00 00","raw":"f///f///AqbKf///f///AqbKAF3aS1EASQAAAAAAAAAAAAAAAAA=","remoteID":0,"remote_Btn":0,"remote_DidHitMe":0,"remote_compass":0,"remote_distance":0,"remote_lat":-90,"remote_lng":-180,"remote_radioSSN":0,"time":"2017-11-14T21:01:33.636022069Z"</t>
  </si>
  <si>
    <t>ca da ea 83 5e 99 00 0e 08 ca da ed 83 5e 98 00 00 09 37 a0 dc 4b 11 00 04 00 00 00 00 00 00 00 00 00 00 00 00 00</t>
  </si>
  <si>
    <t>{"arduino_VCC":1.1,"arduino_Vbat":4.4,"arduino_tempCPU":60,"compass":225,"counter":4,"dataSetType":1,"device_id":"lora32u4-nummer-een","gps_alt":14,"gps_hdop":0.8,"gps_lat":52.63252393201137,"gps_lng":4.738401456976021,"gps_prev_alt":0,"gps_prev_hdop":0.9,"gps_prev_lat":52.63255611852145,"gps_prev_lng":4.738379999302595,"myBtn":0,"myID":1,"payload":"ca da ea 83 5e 99 00 0e 08 ca da ed 83 5e 98 00 00 09 37 a0 dc 4b 11 00 04 00 00 00 00 00 00 00 00 00 00 00 00 00","raw":"ytrqg16ZAA4Iytrtg16YAAAJN6DcSxEABAAAAAAAAAAAAAAAAAA=","remoteID":0,"remote_Btn":0,"remote_DidHitMe":0,"remote_compass":0,"remote_distance":0,"remote_lat":-90,"remote_lng":-180,"remote_radioSSN":0,"time":"2017-11-14T21:03:54.371432495Z"</t>
  </si>
  <si>
    <t>ca da ec 83 5e 98 00 09 07 ca da ea 83 5e 97 00 00 06 55 9b cf 77 21 00 35 00 00 00 00 00 00 00 00 00 00 00 00 00</t>
  </si>
  <si>
    <t>{"arduino_VCC":1.7,"arduino_Vbat":4.14,"arduino_tempCPU":55,"compass":357,"counter":53,"dataSetType":1,"device_id":"lora32u4-nummer-twee","gps_alt":9,"gps_hdop":0.7,"gps_lat":52.632545389684765,"gps_lng":4.738379999302595,"gps_prev_alt":0,"gps_prev_hdop":0.6,"gps_prev_lat":52.63252393201137,"gps_prev_lng":4.738358541629225,"myBtn":0,"myID":2,"payload":"ca da ec 83 5e 98 00 09 07 ca da ea 83 5e 97 00 00 06 55 9b cf 77 21 00 35 00 00 00 00 00 00 00 00 00 00 00 00 00","raw":"ytrsg16YAAkHytrqg16XAAAGVZvPdyEANQAAAAAAAAAAAAAAAAA=","remoteID":0,"remote_Btn":0,"remote_DidHitMe":0,"remote_compass":0,"remote_distance":0,"remote_lat":-90,"remote_lng":-180,"remote_radioSSN":0,"time":"2017-11-14T21:04:04.444688259Z"</t>
  </si>
  <si>
    <t>{"arduino_VCC":1.1,"arduino_Vbat":4.32,"arduino_tempCPU":-8,"compass":225,"counter":74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00 4a 00 00 00 00 00 00 00 00 00 00 00 00 00","raw":"f///f///AqbKf///f///AqbKN1zYS1EASgAAAAAAAAAAAAAAAAA=","remoteID":0,"remote_Btn":0,"remote_DidHitMe":0,"remote_compass":0,"remote_distance":0,"remote_lat":-90,"remote_lng":-180,"remote_radioSSN":0,"time":"2017-11-14T21:05:42.638283247Z"</t>
  </si>
  <si>
    <t>7f ff ff 7f ff ff 02 a6 ca 7f ff ff 7f ff ff 02 a6 ca 37 5c d8 4b 51 00 4a 00 00 00 00 00 00 00 00 00 00 00 00 00</t>
  </si>
  <si>
    <t>{"arduino_VCC":1.1,"arduino_Vbat":4.36,"arduino_tempCPU":-9,"compass":225,"counter":75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00 4b 00 00 00 00 00 00 00 00 00 00 00 00 00","raw":"f///f///AqbKf///f///AqbKN1vaS1EASwAAAAAAAAAAAAAAAAA=","remoteID":0,"remote_Btn":0,"remote_DidHitMe":0,"remote_compass":0,"remote_distance":0,"remote_lat":-90,"remote_lng":-180,"remote_radioSSN":0,"time":"2017-11-14T21:09:51.320349097Z"</t>
  </si>
  <si>
    <t>7f ff ff 7f ff ff 02 a6 ca 7f ff ff 7f ff ff 02 a6 ca 37 5b da 4b 51 00 4b 00 00 00 00 00 00 00 00 00 00 00 00 00</t>
  </si>
  <si>
    <t>ca da f8 83 5e 90 00 1b 07 ca da f8 83 5e 8d 00 1c 07 00 5c c0 4b 41 00 2d 00 00 00 00 00 00 00 00 00 00 00 00 00</t>
  </si>
  <si>
    <t>{"arduino_VCC":0,"arduino_Vbat":3.84,"arduino_tempCPU":-8,"compass":225,"counter":45,"dataSetType":1,"device_id":"lora32u4-nummer-vier","gps_alt":27,"gps_hdop":0.7,"gps_lat":52.63267413572515,"gps_lng":4.73820833791541,"gps_prev_alt":28,"gps_prev_hdop":0.7,"gps_prev_lat":52.63267413572515,"gps_prev_lng":4.738143964895244,"myBtn":0,"myID":4,"payload":"ca da f8 83 5e 90 00 1b 07 ca da f8 83 5e 8d 00 1c 07 00 5c c0 4b 41 00 2d 00 00 00 00 00 00 00 00 00 00 00 00 00","raw":"ytr4g16QABsHytr4g16NABwHAFzAS0EALQAAAAAAAAAAAAAAAAA=","remoteID":0,"remote_Btn":0,"remote_DidHitMe":0,"remote_compass":0,"remote_distance":0,"remote_lat":-90,"remote_lng":-180,"remote_radioSSN":0,"time":"2017-11-14T21:10:05.511656313Z"</t>
  </si>
  <si>
    <t>{"arduino_VCC":1.1,"arduino_Vbat":4.4,"arduino_tempCPU":60,"compass":225,"counter":6,"dataSetType":1,"device_id":"lora32u4-nummer-een","gps_alt":13,"gps_hdop":0.8,"gps_lat":52.63258830503156,"gps_lng":4.738422914649391,"gps_prev_alt":0,"gps_prev_hdop":0.8,"gps_prev_lat":52.632652678051755,"gps_prev_lng":4.738422914649391,"myBtn":0,"myID":1,"payload":"ca da f0 83 5e 9a 00 0d 08 ca da f6 83 5e 9a 00 00 08 37 a0 dc 4b 11 00 06 00 00 00 00 00 00 00 00 00 00 00 00 00","raw":"ytrwg16aAA0Iytr2g16aAAAIN6DcSxEABgAAAAAAAAAAAAAAAAA=","remoteID":0,"remote_Btn":0,"remote_DidHitMe":0,"remote_compass":0,"remote_distance":0,"remote_lat":-90,"remote_lng":-180,"remote_radioSSN":0,"time":"2017-11-14T21:11:56.485418958Z"</t>
  </si>
  <si>
    <t>ca da f0 83 5e 9a 00 0d 08 ca da f6 83 5e 9a 00 00 08 37 a0 dc 4b 11 00 06 00 00 00 00 00 00 00 00 00 00 00 00 00</t>
  </si>
  <si>
    <t>ca da f6 83 5e 96 00 00 08 ca da f0 83 5e 9a 00 0d 08 37 5b e0 4b 11 00 07 00 00 00 00 00 00 00 00 00 00 00 00 00</t>
  </si>
  <si>
    <t>{"arduino_VCC":1.1,"arduino_Vbat":4.48,"arduino_tempCPU":-9,"compass":225,"counter":7,"dataSetType":1,"device_id":"lora32u4-nummer-een","gps_alt":0,"gps_hdop":0.8,"gps_lat":52.632652678051755,"gps_lng":4.738337083955798,"gps_prev_alt":13,"gps_prev_hdop":0.8,"gps_prev_lat":52.63258830503156,"gps_prev_lng":4.738422914649391,"myBtn":0,"myID":1,"payload":"ca da f6 83 5e 96 00 00 08 ca da f0 83 5e 9a 00 0d 08 37 5b e0 4b 11 00 07 00 00 00 00 00 00 00 00 00 00 00 00 00","raw":"ytr2g16WAAAIytrwg16aAA0IN1vgSxEABwAAAAAAAAAAAAAAAAA=","remoteID":0,"remote_Btn":0,"remote_DidHitMe":0,"remote_compass":0,"remote_distance":0,"remote_lat":-90,"remote_lng":-180,"remote_radioSSN":0,"time":"2017-11-14T21:15:57.561217135Z"</t>
  </si>
  <si>
    <t>ca da f3 83 5e 99 00 00 09 ca da f6 83 5e 96 00 00 08 37 a0 dc 4b 11 00 08 00 00 00 00 00 00 00 00 00 00 00 00 00</t>
  </si>
  <si>
    <t>{"arduino_VCC":1.1,"arduino_Vbat":4.4,"arduino_tempCPU":60,"compass":225,"counter":8,"dataSetType":1,"device_id":"lora32u4-nummer-een","gps_alt":0,"gps_hdop":0.9,"gps_lat":52.632620491541644,"gps_lng":4.738401456976021,"gps_prev_alt":0,"gps_prev_hdop":0.8,"gps_prev_lat":52.632652678051755,"gps_prev_lng":4.738337083955798,"myBtn":0,"myID":1,"payload":"ca da f3 83 5e 99 00 00 09 ca da f6 83 5e 96 00 00 08 37 a0 dc 4b 11 00 08 00 00 00 00 00 00 00 00 00 00 00 00 00","raw":"ytrzg16ZAAAJytr2g16WAAAIN6DcSxEACAAAAAAAAAAAAAAAAAA=","remoteID":0,"remote_Btn":0,"remote_DidHitMe":0,"remote_compass":0,"remote_distance":0,"remote_lat":-90,"remote_lng":-180,"remote_radioSSN":0,"time":"2017-11-14T21:19:58.618363655Z"</t>
  </si>
  <si>
    <t>7f ff ff 7f ff ff 02 a6 ca 7f ff ff 7f ff ff 02 a6 ca 00 5d da 4b 51 00 4e 00 00 00 00 00 00 00 00 00 00 00 00 00</t>
  </si>
  <si>
    <t>{"arduino_VCC":0,"arduino_Vbat":4.36,"arduino_tempCPU":-7,"compass":225,"counter":78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4e 00 00 00 00 00 00 00 00 00 00 00 00 00","raw":"f///f///AqbKf///f///AqbKAF3aS1EATgAAAAAAAAAAAAAAAAA=","remoteID":0,"remote_Btn":0,"remote_DidHitMe":0,"remote_compass":0,"remote_distance":0,"remote_lat":-90,"remote_lng":-180,"remote_radioSSN":0,"time":"2017-11-14T21:22:17.713609999Z"</t>
  </si>
  <si>
    <t>{"arduino_VCC":1.1,"arduino_Vbat":4.48,"arduino_tempCPU":-9,"compass":225,"counter":9,"dataSetType":1,"device_id":"lora32u4-nummer-een","gps_alt":0,"gps_hdop":0.9,"gps_lat":52.63267413572515,"gps_lng":4.738465829996187,"gps_prev_alt":0,"gps_prev_hdop":0.9,"gps_prev_lat":52.632620491541644,"gps_prev_lng":4.738401456976021,"myBtn":0,"myID":1,"payload":"ca da f8 83 5e 9c 00 00 09 ca da f3 83 5e 99 00 00 09 37 5b e0 4b 11 00 09 00 00 00 00 00 00 00 00 00 00 00 00 00","raw":"ytr4g16cAAAJytrzg16ZAAAJN1vgSxEACQAAAAAAAAAAAAAAAAA=","remoteID":0,"remote_Btn":0,"remote_DidHitMe":0,"remote_compass":0,"remote_distance":0,"remote_lat":-90,"remote_lng":-180,"remote_radioSSN":0,"time":"2017-11-14T21:23:59.376513161Z"</t>
  </si>
  <si>
    <t>ca da f8 83 5e 9c 00 00 09 ca da f3 83 5e 99 00 00 09 37 5b e0 4b 11 00 09 00 00 00 00 00 00 00 00 00 00 00 00 00</t>
  </si>
  <si>
    <t>7f ff ff 7f ff ff 02 a6 ca 7f ff ff 7f ff ff 02 a6 ca 00 5d da 4b 51 00 4f 00 00 00 00 00 00 00 00 00 00 00 00 00</t>
  </si>
  <si>
    <t>{"arduino_VCC":0,"arduino_Vbat":4.36,"arduino_tempCPU":-7,"compass":225,"counter":79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4f 00 00 00 00 00 00 00 00 00 00 00 00 00","raw":"f///f///AqbKf///f///AqbKAF3aS1EATwAAAAAAAAAAAAAAAAA=","remoteID":0,"remote_Btn":0,"remote_DidHitMe":0,"remote_compass":0,"remote_distance":0,"remote_lat":-90,"remote_lng":-180,"remote_radioSSN":0,"time":"2017-11-14T21:26:26.441975715Z"</t>
  </si>
  <si>
    <t>ca da f9 83 5e 99 00 00 07 ca da f8 83 5e 9a 00 00 06 00 5b d5 52 21 00 3b 00 00 00 00 00 00 00 00 00 00 00 00 00</t>
  </si>
  <si>
    <t>{"arduino_VCC":0,"arduino_Vbat":4.26,"arduino_tempCPU":-9,"compass":246,"counter":59,"dataSetType":1,"device_id":"lora32u4-nummer-twee","gps_alt":0,"gps_hdop":0.7,"gps_lat":52.63268486456184,"gps_lng":4.738401456976021,"gps_prev_alt":0,"gps_prev_hdop":0.6,"gps_prev_lat":52.63267413572515,"gps_prev_lng":4.738422914649391,"myBtn":0,"myID":2,"payload":"ca da f9 83 5e 99 00 00 07 ca da f8 83 5e 9a 00 00 06 00 5b d5 52 21 00 3b 00 00 00 00 00 00 00 00 00 00 00 00 00","raw":"ytr5g16ZAAAHytr4g16aAAAGAFvVUiEAOwAAAAAAAAAAAAAAAAA=","remoteID":0,"remote_Btn":0,"remote_DidHitMe":0,"remote_compass":0,"remote_distance":0,"remote_lat":-90,"remote_lng":-180,"remote_radioSSN":0,"time":"2017-11-14T21:29:34.440980584Z"</t>
  </si>
  <si>
    <t>{"arduino_VCC":0,"arduino_Vbat":4.38,"arduino_tempCPU":-9,"compass":225,"counter":11,"dataSetType":1,"device_id":"lora32u4-nummer-een","gps_alt":0,"gps_hdop":0.8,"gps_lat":52.63267413572515,"gps_lng":4.738422914649391,"gps_prev_alt":2,"gps_prev_hdop":0.8,"gps_prev_lat":52.632652678051755,"gps_prev_lng":4.738401456976021,"myBtn":0,"myID":1,"payload":"ca da f8 83 5e 9a 00 00 08 ca da f6 83 5e 99 00 02 08 00 5b db 4b 11 00 0b 00 00 00 00 00 00 00 00 00 00 00 00 00","raw":"ytr4g16aAAAIytr2g16ZAAIIAFvbSxEACwAAAAAAAAAAAAAAAAA=","remoteID":0,"remote_Btn":0,"remote_DidHitMe":0,"remote_compass":0,"remote_distance":0,"remote_lat":-90,"remote_lng":-180,"remote_radioSSN":0,"time":"2017-11-14T21:32:01.515260096Z"</t>
  </si>
  <si>
    <t>ca da f8 83 5e 9a 00 00 08 ca da f6 83 5e 99 00 02 08 00 5b db 4b 11 00 0b 00 00 00 00 00 00 00 00 00 00 00 00 00</t>
  </si>
  <si>
    <t>7f ff ff 7f ff ff 02 a6 ca 7f ff ff 7f ff ff 02 a6 ca 00 5c d8 4b 51 00 51 00 00 00 00 00 00 00 00 00 00 00 00 00</t>
  </si>
  <si>
    <t>{"arduino_VCC":0,"arduino_Vbat":4.32,"arduino_tempCPU":-8,"compass":225,"counter":81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00 51 00 00 00 00 00 00 00 00 00 00 00 00 00","raw":"f///f///AqbKf///f///AqbKAFzYS1EAUQAAAAAAAAAAAAAAAAA=","remoteID":0,"remote_Btn":0,"remote_DidHitMe":0,"remote_compass":0,"remote_distance":0,"remote_lat":-90,"remote_lng":-180,"remote_radioSSN":0,"time":"2017-11-14T21:34:44.149886804Z"</t>
  </si>
  <si>
    <t>{"arduino_VCC":0,"arduino_Vbat":4.36,"arduino_tempCPU":-7,"compass":225,"counter":82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52 00 00 00 00 00 00 00 00 00 00 00 00 00","raw":"f///f///AqbKf///f///AqbKAF3aS1EAUgAAAAAAAAAAAAAAAAA=","remoteID":0,"remote_Btn":0,"remote_DidHitMe":0,"remote_compass":0,"remote_distance":0,"remote_lat":-90,"remote_lng":-180,"remote_radioSSN":0,"time":"2017-11-14T21:38:52.822872893Z"</t>
  </si>
  <si>
    <t>7f ff ff 7f ff ff 02 a6 ca 7f ff ff 7f ff ff 02 a6 ca 00 5d da 4b 51 00 52 00 00 00 00 00 00 00 00 00 00 00 00 00</t>
  </si>
  <si>
    <t>{"arduino_VCC":0,"arduino_Vbat":4.3,"arduino_tempCPU":-8,"compass":225,"counter":52,"dataSetType":1,"device_id":"lora32u4-nummer-vier","gps_alt":0,"gps_hdop":0.8,"gps_lat":52.632652678051755,"gps_lng":4.738379999302595,"gps_prev_alt":0,"gps_prev_hdop":0.8,"gps_prev_lat":52.63263122037836,"gps_prev_lng":4.738358541629225,"myBtn":0,"myID":4,"payload":"ca da f6 83 5e 98 00 00 08 ca da f4 83 5e 97 00 00 08 00 5c d7 4b 41 00 34 00 00 00 00 00 00 00 00 00 00 00 00 00","raw":"ytr2g16YAAAIytr0g16XAAAIAFzXS0EANAAAAAAAAAAAAAAAAAA=","remoteID":0,"remote_Btn":0,"remote_DidHitMe":0,"remote_compass":0,"remote_distance":0,"remote_lat":-90,"remote_lng":-180,"remote_radioSSN":0,"time":"2017-11-14T21:39:50.523142955Z"</t>
  </si>
  <si>
    <t>ca da f6 83 5e 98 00 00 08 ca da f4 83 5e 97 00 00 08 00 5c d7 4b 41 00 34 00 00 00 00 00 00 00 00 00 00 00 00 00</t>
  </si>
  <si>
    <t xml:space="preserve">{"arduino_VCC":1.1,"arduino_Vbat":4.48,"arduino_tempCPU":-9,"compass":225,"counter":13,"dataSetType":1,"device_id":"lora32u4-nummer-een","gps_alt":0,"gps_hdop":0.7,"gps_lat":52.63260976270496,"gps_lng":4.738401456976021,"gps_prev_alt":7,"gps_prev_hdop":0.8,"gps_prev_lat":52.632620491541644,"gps_prev_lng":4.738337083955798,"myBtn":0,"myID":1,"payload":"ca da f2 83 5e 99 00 00 07 ca da f3 83 5e 96 00 07 08 37 5b e0 4b 11 00 0d 00 00 00 00 00 00 00 00 00 00 00 00 00","raw":"ytryg16ZAAAHytrzg16WAAcIN1vgSxEADQAAAAAAAAAAAAAAAAA=","remoteID":0,"remote_Btn":0,"remote_DidHitMe":0,"remote_compass":0,"remote_distance":0,"remote_lat":-90,"remote_lng":-180,"remote_radioSSN":0,"time":"2017-11-14T21:40:03.638831096Z"}]
</t>
  </si>
  <si>
    <t>ca da f2 83 5e 99 00 00 07 ca da f3 83 5e 96 00 07 08 37 5b e0 4b 11 00 0d 00 00 00 00 00 00 00 00 00 00 00 00 00</t>
  </si>
  <si>
    <t>65m</t>
  </si>
  <si>
    <t xml:space="preserve">[{"arduino_VCC":1.1,"arduino_Vbat":3.96,"arduino_tempCPU":59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9f c6 4b 41 00 00 00 00 00 00 00 00 00 00 00 00 00 00 00","raw":"f///f///AqbKAAAAAAAAAAAAN5/GS0EAAAAAAAAAAAAAAAAAAAA=","remoteID":0,"remote_Btn":0,"remote_DidHitMe":0,"remote_compass":0,"remote_distance":0,"remote_lat":-90,"remote_lng":-180,"remote_radioSSN":0,"time":"2017-11-14T20:38:41.663292343Z"},{"arduino_VCC":1.1,"arduino_Vbat":4.46,"arduino_tempCPU":60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a0 df 4b 41 00 00 00 00 00 00 00 00 00 00 00 00 00 00 00","raw":"f///f///AqbKAAAAAAAAAAAAN6DfS0EAAAAAAAAAAAAAAAAAAAA=","remoteID":0,"remote_Btn":0,"remote_DidHitMe":0,"remote_compass":0,"remote_distance":0,"remote_lat":-90,"remote_lng":-180,"remote_radioSSN":0,"time":"2017-11-14T20:39:27.997664005Z"},{"arduino_VCC":0,"arduino_Vbat":4.22,"arduino_tempCPU":60,"compass":225,"counter":0,"dataSetType":1,"device_id":"lora32u4-nummer-een","gps_alt":678,"gps_hdop":20.2,"gps_lat":-5.36441834242396e-06,"gps_lng":-1.072883668484792e-05,"gps_prev_alt":0,"gps_prev_hdop":0,"gps_prev_lat":-90,"gps_prev_lng":-180,"myBtn":0,"myID":1,"payload":"7f ff ff 7f ff ff 02 a6 ca 00 00 00 00 00 00 00 00 00 00 a0 d3 4b 11 00 00 00 00 00 00 00 00 00 00 00 00 00 00 00","raw":"f///f///AqbKAAAAAAAAAAAAAKDTSxEAAAAAAAAAAAAAAAAAAAA=","remoteID":0,"remote_Btn":0,"remote_DidHitMe":0,"remote_compass":0,"remote_distance":0,"remote_lat":-90,"remote_lng":-180,"remote_radioSSN":0,"time":"2017-11-14T20:41:40.207214129Z"},{"arduino_VCC":1.1,"arduino_Vbat":4.42,"arduino_tempCPU":-9,"compass":225,"counter":1,"dataSetType":1,"device_id":"lora32u4-nummer-een","gps_alt":678,"gps_hdop":20.2,"gps_lat":-5.36441834242396e-06,"gps_lng":-1.072883668484792e-05,"gps_prev_alt":678,"gps_prev_hdop":20.2,"gps_prev_lat":-5.36441834242396e-06,"gps_prev_lng":-1.072883668484792e-05,"myBtn":0,"myID":1,"payload":"7f ff ff 7f ff ff 02 a6 ca 7f ff ff 7f ff ff 02 a6 ca 37 5b dd 4b 11 00 01 00 00 00 00 00 00 00 00 00 00 00 00 00","raw":"f///f///AqbKf///f///AqbKN1vdSxEAAQAAAAAAAAAAAAAAAAA=","remoteID":0,"remote_Btn":0,"remote_DidHitMe":0,"remote_compass":0,"remote_distance":0,"remote_lat":-90,"remote_lng":-180,"remote_radioSSN":0,"time":"2017-11-14T20:45:51.368634346Z"},{"arduino_VCC":1.7,"arduino_Vbat":4.3,"arduino_tempCPU":-6,"compass":225,"counter":70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55 5e d7 4b 51 00 46 00 00 00 00 00 00 00 00 00 00 00 00 00","raw":"f///f///AqbKf///f///AqbKVV7XS1EARgAAAAAAAAAAAAAAAAA=","remoteID":0,"remote_Btn":0,"remote_DidHitMe":0,"remote_compass":0,"remote_distance":0,"remote_lat":-90,"remote_lng":-180,"remote_radioSSN":0,"time":"2017-11-14T20:49:07.564930692Z"},{"arduino_VCC":1.1,"arduino_Vbat":4.14,"arduino_tempCPU":60,"compass":288,"counter":50,"dataSetType":1,"device_id":"lora32u4-nummer-twee","gps_alt":0,"gps_hdop":0.7,"gps_lat":52.632599033868246,"gps_lng":4.738401456976021,"gps_prev_alt":0,"gps_prev_hdop":0.8,"gps_prev_lat":52.63266340688844,"gps_prev_lng":4.738422914649391,"myBtn":0,"myID":2,"payload":"ca da f1 83 5e 99 00 00 07 ca da f7 83 5e 9a 00 00 08 37 a0 cf 60 21 00 32 00 00 00 00 00 00 00 00 00 00 00 00 00","raw":"ytrxg16ZAAAHytr3g16aAAAIN6DPYCEAMgAAAAAAAAAAAAAAAAA=","remoteID":0,"remote_Btn":0,"remote_DidHitMe":0,"remote_compass":0,"remote_distance":0,"remote_lat":-90,"remote_lng":-180,"remote_radioSSN":0,"time":"2017-11-14T20:51:19.446431411Z"},{"arduino_VCC":1.1,"arduino_Vbat":4.48,"arduino_tempCPU":-9,"compass":225,"counter":1,"dataSetType":1,"device_id":"lora32u4-nummer-een","gps_alt":0,"gps_hdop":1,"gps_lat":52.63267413572515,"gps_lng":4.738422914649391,"gps_prev_alt":678,"gps_prev_hdop":20.2,"gps_prev_lat":-5.36441834242396e-06,"gps_prev_lng":-1.072883668484792e-05,"myBtn":0,"myID":1,"payload":"ca da f8 83 5e 9a 00 00 0a 7f ff ff 7f ff ff 02 a6 ca 37 5b e0 4b 11 00 01 00 00 00 00 00 00 00 00 00 00 00 00 00","raw":"ytr4g16aAAAKf///f///AqbKN1vgSxEAAQAAAAAAAAAAAAAAAAA=","remoteID":0,"remote_Btn":0,"remote_DidHitMe":0,"remote_compass":0,"remote_distance":0,"remote_lat":-90,"remote_lng":-180,"remote_radioSSN":0,"time":"2017-11-14T20:51:51.497559616Z"},{"arduino_VCC":1.1,"arduino_Vbat":4.48,"arduino_tempCPU":-9,"compass":225,"counter":2,"dataSetType":1,"device_id":"lora32u4-nummer-een","gps_alt":0,"gps_hdop":1.1,"gps_lat":52.632620491541644,"gps_lng":4.73853020301641,"gps_prev_alt":0,"gps_prev_hdop":1,"gps_prev_lat":52.63267413572515,"gps_prev_lng":4.738422914649391,"myBtn":0,"myID":1,"payload":"ca da f3 83 5e 9f 00 00 0b ca da f8 83 5e 9a 00 00 0a 37 5b e0 4b 11 00 02 00 00 00 00 00 00 00 00 00 00 00 00 00","raw":"ytrzg16fAAALytr4g16aAAAKN1vgSxEAAgAAAAAAAAAAAAAAAAA=","remoteID":0,"remote_Btn":0,"remote_DidHitMe":0,"remote_compass":0,"remote_distance":0,"remote_lat":-90,"remote_lng":-180,"remote_radioSSN":0,"time":"2017-11-14T20:55:52.560234726Z"},{"arduino_VCC":0,"arduino_Vbat":3.88,"arduino_tempCPU":-8,"compass":225,"counter":42,"dataSetType":1,"device_id":"lora32u4-nummer-vier","gps_alt":21,"gps_hdop":0.7,"gps_lat":52.63267413572515,"gps_lng":4.7381010495484475,"gps_prev_alt":10,"gps_prev_hdop":0.8,"gps_prev_lat":52.632620491541644,"gps_prev_lng":4.738143964895244,"myBtn":0,"myID":4,"payload":"ca da f8 83 5e 8b 00 15 07 ca da f3 83 5e 8d 00 0a 08 00 5c c2 4b 41 00 2a 00 00 00 00 00 00 00 00 00 00 00 00 00","raw":"ytr4g16LABUHytrzg16NAAoIAFzCS0EAKgAAAAAAAAAAAAAAAAA=","remoteID":0,"remote_Btn":0,"remote_DidHitMe":0,"remote_compass":0,"remote_distance":0,"remote_lat":-90,"remote_lng":-180,"remote_radioSSN":0,"time":"2017-11-14T20:57:20.503915704Z"},{"arduino_VCC":0,"arduino_Vbat":4.14,"arduino_tempCPU":57,"compass":354,"counter":52,"dataSetType":1,"device_id":"lora32u4-nummer-twee","gps_alt":0,"gps_hdop":0.6,"gps_lat":52.63252393201137,"gps_lng":4.738358541629225,"gps_prev_alt":0,"gps_prev_hdop":0.7,"gps_prev_lat":52.63260976270496,"gps_prev_lng":4.738379999302595,"myBtn":0,"myID":2,"payload":"ca da ea 83 5e 97 00 00 06 ca da f2 83 5e 98 00 00 07 00 9d cf 76 21 00 34 00 00 00 00 00 00 00 00 00 00 00 00 00","raw":"ytrqg16XAAAGytryg16YAAAHAJ3PdiEANAAAAAAAAAAAAAAAAAA=","remoteID":0,"remote_Btn":0,"remote_DidHitMe":0,"remote_compass":0,"remote_distance":0,"remote_lat":-90,"remote_lng":-180,"remote_radioSSN":0,"time":"2017-11-14T20:59:49.446997435Z"},{"arduino_VCC":1.1,"arduino_Vbat":4.38,"arduino_tempCPU":-9,"compass":225,"counter":3,"dataSetType":1,"device_id":"lora32u4-nummer-een","gps_alt":0,"gps_hdop":0.9,"gps_lat":52.63255611852145,"gps_lng":4.738379999302595,"gps_prev_alt":0,"gps_prev_hdop":1.1,"gps_prev_lat":52.632620491541644,"gps_prev_lng":4.73853020301641,"myBtn":0,"myID":1,"payload":"ca da ed 83 5e 98 00 00 09 ca da f3 83 5e 9f 00 00 0b 37 5b db 4b 11 00 03 00 00 00 00 00 00 00 00 00 00 00 00 00","raw":"ytrtg16YAAAJytrzg16fAAALN1vbSxEAAwAAAAAAAAAAAAAAAAA=","remoteID":0,"remote_Btn":0,"remote_DidHitMe":0,"remote_compass":0,"remote_distance":0,"remote_lat":-90,"remote_lng":-180,"remote_radioSSN":0,"time":"2017-11-14T20:59:53.622584947Z"},{"arduino_VCC":0,"arduino_Vbat":4.36,"arduino_tempCPU":-7,"compass":225,"counter":73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49 00 00 00 00 00 00 00 00 00 00 00 00 00","raw":"f///f///AqbKf///f///AqbKAF3aS1EASQAAAAAAAAAAAAAAAAA=","remoteID":0,"remote_Btn":0,"remote_DidHitMe":0,"remote_compass":0,"remote_distance":0,"remote_lat":-90,"remote_lng":-180,"remote_radioSSN":0,"time":"2017-11-14T21:01:33.636022069Z"},{"arduino_VCC":1.1,"arduino_Vbat":4.4,"arduino_tempCPU":60,"compass":225,"counter":4,"dataSetType":1,"device_id":"lora32u4-nummer-een","gps_alt":14,"gps_hdop":0.8,"gps_lat":52.63252393201137,"gps_lng":4.738401456976021,"gps_prev_alt":0,"gps_prev_hdop":0.9,"gps_prev_lat":52.63255611852145,"gps_prev_lng":4.738379999302595,"myBtn":0,"myID":1,"payload":"ca da ea 83 5e 99 00 0e 08 ca da ed 83 5e 98 00 00 09 37 a0 dc 4b 11 00 04 00 00 00 00 00 00 00 00 00 00 00 00 00","raw":"ytrqg16ZAA4Iytrtg16YAAAJN6DcSxEABAAAAAAAAAAAAAAAAAA=","remoteID":0,"remote_Btn":0,"remote_DidHitMe":0,"remote_compass":0,"remote_distance":0,"remote_lat":-90,"remote_lng":-180,"remote_radioSSN":0,"time":"2017-11-14T21:03:54.371432495Z"},{"arduino_VCC":1.7,"arduino_Vbat":4.14,"arduino_tempCPU":55,"compass":357,"counter":53,"dataSetType":1,"device_id":"lora32u4-nummer-twee","gps_alt":9,"gps_hdop":0.7,"gps_lat":52.632545389684765,"gps_lng":4.738379999302595,"gps_prev_alt":0,"gps_prev_hdop":0.6,"gps_prev_lat":52.63252393201137,"gps_prev_lng":4.738358541629225,"myBtn":0,"myID":2,"payload":"ca da ec 83 5e 98 00 09 07 ca da ea 83 5e 97 00 00 06 55 9b cf 77 21 00 35 00 00 00 00 00 00 00 00 00 00 00 00 00","raw":"ytrsg16YAAkHytrqg16XAAAGVZvPdyEANQAAAAAAAAAAAAAAAAA=","remoteID":0,"remote_Btn":0,"remote_DidHitMe":0,"remote_compass":0,"remote_distance":0,"remote_lat":-90,"remote_lng":-180,"remote_radioSSN":0,"time":"2017-11-14T21:04:04.444688259Z"},{"arduino_VCC":1.1,"arduino_Vbat":4.32,"arduino_tempCPU":-8,"compass":225,"counter":74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5c d8 4b 51 00 4a 00 00 00 00 00 00 00 00 00 00 00 00 00","raw":"f///f///AqbKf///f///AqbKN1zYS1EASgAAAAAAAAAAAAAAAAA=","remoteID":0,"remote_Btn":0,"remote_DidHitMe":0,"remote_compass":0,"remote_distance":0,"remote_lat":-90,"remote_lng":-180,"remote_radioSSN":0,"time":"2017-11-14T21:05:42.638283247Z"},{"arduino_VCC":1.1,"arduino_Vbat":4.36,"arduino_tempCPU":-9,"compass":225,"counter":75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37 5b da 4b 51 00 4b 00 00 00 00 00 00 00 00 00 00 00 00 00","raw":"f///f///AqbKf///f///AqbKN1vaS1EASwAAAAAAAAAAAAAAAAA=","remoteID":0,"remote_Btn":0,"remote_DidHitMe":0,"remote_compass":0,"remote_distance":0,"remote_lat":-90,"remote_lng":-180,"remote_radioSSN":0,"time":"2017-11-14T21:09:51.320349097Z"},{"arduino_VCC":0,"arduino_Vbat":3.84,"arduino_tempCPU":-8,"compass":225,"counter":45,"dataSetType":1,"device_id":"lora32u4-nummer-vier","gps_alt":27,"gps_hdop":0.7,"gps_lat":52.63267413572515,"gps_lng":4.73820833791541,"gps_prev_alt":28,"gps_prev_hdop":0.7,"gps_prev_lat":52.63267413572515,"gps_prev_lng":4.738143964895244,"myBtn":0,"myID":4,"payload":"ca da f8 83 5e 90 00 1b 07 ca da f8 83 5e 8d 00 1c 07 00 5c c0 4b 41 00 2d 00 00 00 00 00 00 00 00 00 00 00 00 00","raw":"ytr4g16QABsHytr4g16NABwHAFzAS0EALQAAAAAAAAAAAAAAAAA=","remoteID":0,"remote_Btn":0,"remote_DidHitMe":0,"remote_compass":0,"remote_distance":0,"remote_lat":-90,"remote_lng":-180,"remote_radioSSN":0,"time":"2017-11-14T21:10:05.511656313Z"},{"arduino_VCC":1.1,"arduino_Vbat":4.4,"arduino_tempCPU":60,"compass":225,"counter":6,"dataSetType":1,"device_id":"lora32u4-nummer-een","gps_alt":13,"gps_hdop":0.8,"gps_lat":52.63258830503156,"gps_lng":4.738422914649391,"gps_prev_alt":0,"gps_prev_hdop":0.8,"gps_prev_lat":52.632652678051755,"gps_prev_lng":4.738422914649391,"myBtn":0,"myID":1,"payload":"ca da f0 83 5e 9a 00 0d 08 ca da f6 83 5e 9a 00 00 08 37 a0 dc 4b 11 00 06 00 00 00 00 00 00 00 00 00 00 00 00 00","raw":"ytrwg16aAA0Iytr2g16aAAAIN6DcSxEABgAAAAAAAAAAAAAAAAA=","remoteID":0,"remote_Btn":0,"remote_DidHitMe":0,"remote_compass":0,"remote_distance":0,"remote_lat":-90,"remote_lng":-180,"remote_radioSSN":0,"time":"2017-11-14T21:11:56.485418958Z"},{"arduino_VCC":1.1,"arduino_Vbat":4.48,"arduino_tempCPU":-9,"compass":225,"counter":7,"dataSetType":1,"device_id":"lora32u4-nummer-een","gps_alt":0,"gps_hdop":0.8,"gps_lat":52.632652678051755,"gps_lng":4.738337083955798,"gps_prev_alt":13,"gps_prev_hdop":0.8,"gps_prev_lat":52.63258830503156,"gps_prev_lng":4.738422914649391,"myBtn":0,"myID":1,"payload":"ca da f6 83 5e 96 00 00 08 ca da f0 83 5e 9a 00 0d 08 37 5b e0 4b 11 00 07 00 00 00 00 00 00 00 00 00 00 00 00 00","raw":"ytr2g16WAAAIytrwg16aAA0IN1vgSxEABwAAAAAAAAAAAAAAAAA=","remoteID":0,"remote_Btn":0,"remote_DidHitMe":0,"remote_compass":0,"remote_distance":0,"remote_lat":-90,"remote_lng":-180,"remote_radioSSN":0,"time":"2017-11-14T21:15:57.561217135Z"},{"arduino_VCC":1.1,"arduino_Vbat":4.4,"arduino_tempCPU":60,"compass":225,"counter":8,"dataSetType":1,"device_id":"lora32u4-nummer-een","gps_alt":0,"gps_hdop":0.9,"gps_lat":52.632620491541644,"gps_lng":4.738401456976021,"gps_prev_alt":0,"gps_prev_hdop":0.8,"gps_prev_lat":52.632652678051755,"gps_prev_lng":4.738337083955798,"myBtn":0,"myID":1,"payload":"ca da f3 83 5e 99 00 00 09 ca da f6 83 5e 96 00 00 08 37 a0 dc 4b 11 00 08 00 00 00 00 00 00 00 00 00 00 00 00 00","raw":"ytrzg16ZAAAJytr2g16WAAAIN6DcSxEACAAAAAAAAAAAAAAAAAA=","remoteID":0,"remote_Btn":0,"remote_DidHitMe":0,"remote_compass":0,"remote_distance":0,"remote_lat":-90,"remote_lng":-180,"remote_radioSSN":0,"time":"2017-11-14T21:19:58.618363655Z"},{"arduino_VCC":0,"arduino_Vbat":4.36,"arduino_tempCPU":-7,"compass":225,"counter":78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4e 00 00 00 00 00 00 00 00 00 00 00 00 00","raw":"f///f///AqbKf///f///AqbKAF3aS1EATgAAAAAAAAAAAAAAAAA=","remoteID":0,"remote_Btn":0,"remote_DidHitMe":0,"remote_compass":0,"remote_distance":0,"remote_lat":-90,"remote_lng":-180,"remote_radioSSN":0,"time":"2017-11-14T21:22:17.713609999Z"},{"arduino_VCC":1.1,"arduino_Vbat":4.48,"arduino_tempCPU":-9,"compass":225,"counter":9,"dataSetType":1,"device_id":"lora32u4-nummer-een","gps_alt":0,"gps_hdop":0.9,"gps_lat":52.63267413572515,"gps_lng":4.738465829996187,"gps_prev_alt":0,"gps_prev_hdop":0.9,"gps_prev_lat":52.632620491541644,"gps_prev_lng":4.738401456976021,"myBtn":0,"myID":1,"payload":"ca da f8 83 5e 9c 00 00 09 ca da f3 83 5e 99 00 00 09 37 5b e0 4b 11 00 09 00 00 00 00 00 00 00 00 00 00 00 00 00","raw":"ytr4g16cAAAJytrzg16ZAAAJN1vgSxEACQAAAAAAAAAAAAAAAAA=","remoteID":0,"remote_Btn":0,"remote_DidHitMe":0,"remote_compass":0,"remote_distance":0,"remote_lat":-90,"remote_lng":-180,"remote_radioSSN":0,"time":"2017-11-14T21:23:59.376513161Z"},{"arduino_VCC":0,"arduino_Vbat":4.36,"arduino_tempCPU":-7,"compass":225,"counter":79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4f 00 00 00 00 00 00 00 00 00 00 00 00 00","raw":"f///f///AqbKf///f///AqbKAF3aS1EATwAAAAAAAAAAAAAAAAA=","remoteID":0,"remote_Btn":0,"remote_DidHitMe":0,"remote_compass":0,"remote_distance":0,"remote_lat":-90,"remote_lng":-180,"remote_radioSSN":0,"time":"2017-11-14T21:26:26.441975715Z"},{"arduino_VCC":0,"arduino_Vbat":4.26,"arduino_tempCPU":-9,"compass":246,"counter":59,"dataSetType":1,"device_id":"lora32u4-nummer-twee","gps_alt":0,"gps_hdop":0.7,"gps_lat":52.63268486456184,"gps_lng":4.738401456976021,"gps_prev_alt":0,"gps_prev_hdop":0.6,"gps_prev_lat":52.63267413572515,"gps_prev_lng":4.738422914649391,"myBtn":0,"myID":2,"payload":"ca da f9 83 5e 99 00 00 07 ca da f8 83 5e 9a 00 00 06 00 5b d5 52 21 00 3b 00 00 00 00 00 00 00 00 00 00 00 00 00","raw":"ytr5g16ZAAAHytr4g16aAAAGAFvVUiEAOwAAAAAAAAAAAAAAAAA=","remoteID":0,"remote_Btn":0,"remote_DidHitMe":0,"remote_compass":0,"remote_distance":0,"remote_lat":-90,"remote_lng":-180,"remote_radioSSN":0,"time":"2017-11-14T21:29:34.440980584Z"},{"arduino_VCC":0,"arduino_Vbat":4.38,"arduino_tempCPU":-9,"compass":225,"counter":11,"dataSetType":1,"device_id":"lora32u4-nummer-een","gps_alt":0,"gps_hdop":0.8,"gps_lat":52.63267413572515,"gps_lng":4.738422914649391,"gps_prev_alt":2,"gps_prev_hdop":0.8,"gps_prev_lat":52.632652678051755,"gps_prev_lng":4.738401456976021,"myBtn":0,"myID":1,"payload":"ca da f8 83 5e 9a 00 00 08 ca da f6 83 5e 99 00 02 08 00 5b db 4b 11 00 0b 00 00 00 00 00 00 00 00 00 00 00 00 00","raw":"ytr4g16aAAAIytr2g16ZAAIIAFvbSxEACwAAAAAAAAAAAAAAAAA=","remoteID":0,"remote_Btn":0,"remote_DidHitMe":0,"remote_compass":0,"remote_distance":0,"remote_lat":-90,"remote_lng":-180,"remote_radioSSN":0,"time":"2017-11-14T21:32:01.515260096Z"},{"arduino_VCC":0,"arduino_Vbat":4.32,"arduino_tempCPU":-8,"compass":225,"counter":81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5c d8 4b 51 00 51 00 00 00 00 00 00 00 00 00 00 00 00 00","raw":"f///f///AqbKf///f///AqbKAFzYS1EAUQAAAAAAAAAAAAAAAAA=","remoteID":0,"remote_Btn":0,"remote_DidHitMe":0,"remote_compass":0,"remote_distance":0,"remote_lat":-90,"remote_lng":-180,"remote_radioSSN":0,"time":"2017-11-14T21:34:44.149886804Z"},{"arduino_VCC":0,"arduino_Vbat":4.36,"arduino_tempCPU":-7,"compass":225,"counter":82,"dataSetType":1,"device_id":"lora32u4-nummer-vijf","gps_alt":678,"gps_hdop":20.2,"gps_lat":-5.36441834242396e-06,"gps_lng":-1.072883668484792e-05,"gps_prev_alt":678,"gps_prev_hdop":20.2,"gps_prev_lat":-5.36441834242396e-06,"gps_prev_lng":-1.072883668484792e-05,"myBtn":0,"myID":5,"payload":"7f ff ff 7f ff ff 02 a6 ca 7f ff ff 7f ff ff 02 a6 ca 00 5d da 4b 51 00 52 00 00 00 00 00 00 00 00 00 00 00 00 00","raw":"f///f///AqbKf///f///AqbKAF3aS1EAUgAAAAAAAAAAAAAAAAA=","remoteID":0,"remote_Btn":0,"remote_DidHitMe":0,"remote_compass":0,"remote_distance":0,"remote_lat":-90,"remote_lng":-180,"remote_radioSSN":0,"time":"2017-11-14T21:38:52.822872893Z"},{"arduino_VCC":0,"arduino_Vbat":4.3,"arduino_tempCPU":-8,"compass":225,"counter":52,"dataSetType":1,"device_id":"lora32u4-nummer-vier","gps_alt":0,"gps_hdop":0.8,"gps_lat":52.632652678051755,"gps_lng":4.738379999302595,"gps_prev_alt":0,"gps_prev_hdop":0.8,"gps_prev_lat":52.63263122037836,"gps_prev_lng":4.738358541629225,"myBtn":0,"myID":4,"payload":"ca da f6 83 5e 98 00 00 08 ca da f4 83 5e 97 00 00 08 00 5c d7 4b 41 00 34 00 00 00 00 00 00 00 00 00 00 00 00 00","raw":"ytr2g16YAAAIytr0g16XAAAIAFzXS0EANAAAAAAAAAAAAAAAAAA=","remoteID":0,"remote_Btn":0,"remote_DidHitMe":0,"remote_compass":0,"remote_distance":0,"remote_lat":-90,"remote_lng":-180,"remote_radioSSN":0,"time":"2017-11-14T21:39:50.523142955Z"},{"arduino_VCC":1.1,"arduino_Vbat":4.48,"arduino_tempCPU":-9,"compass":225,"counter":13,"dataSetType":1,"device_id":"lora32u4-nummer-een","gps_alt":0,"gps_hdop":0.7,"gps_lat":52.63260976270496,"gps_lng":4.738401456976021,"gps_prev_alt":7,"gps_prev_hdop":0.8,"gps_prev_lat":52.632620491541644,"gps_prev_lng":4.738337083955798,"myBtn":0,"myID":1,"payload":"ca da f2 83 5e 99 00 00 07 ca da f3 83 5e 96 00 07 08 37 5b e0 4b 11 00 0d 00 00 00 00 00 00 00 00 00 00 00 00 00","raw":"ytryg16ZAAAHytrzg16WAAcIN1vgSxEADQAAAAAAAAAAAAAAAAA=","remoteID":0,"remote_Btn":0,"remote_DidHitMe":0,"remote_compass":0,"remote_distance":0,"remote_lat":-90,"remote_lng":-180,"remote_radioSSN":0,"time":"2017-11-14T21:40:03.638831096Z"}]
</t>
  </si>
  <si>
    <t>[{"arduino_VCC":1.1,"arduino_Vbat":3.96,"arduino_tempCPU":59,"compass":225,"counter":0,"dataSetType":1,"device_id":"lora32u4-nummer-vier","gps_alt":678,"gps_hdop":20.2,"gps_lat":-5.36441834242396e-06,"gps_lng":-1.072883668484792e-05,"gps_prev_alt":0,"gps_prev_hdop":0,"gps_prev_lat":-90,"gps_prev_lng":-180,"myBtn":0,"myID":4,"payload":"7f ff ff 7f ff ff 02 a6 ca 00 00 00 00 00 00 00 00 00 37 9f c6 4b 41 00 00 00 00 00 00 00 00 00 00 00 00 00 00 00","raw":"f///f///AqbKAAAAAAAAAAAAN5/GS0EAAAAAAAAAAAAAAAAAAAA=","remoteID":0,"remote_Btn":0,"remote_DidHitMe":0,"remote_compass":0,"remote_distance":0,"remote_lat":-90,"remote_lng":-180,"remote_radioSSN":0,"time":"2017-11-14T20:38:41.663292343Z"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</si>
</sst>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0"/>
    <numFmt numFmtId="165" formatCode="0.0"/>
    <numFmt numFmtId="166" formatCode="d/m/yyyy\ hh:mm:ss"/>
    <numFmt numFmtId="167" formatCode="d/m/yy\ hh:mm"/>
    <numFmt numFmtId="168" formatCode="h:mm:ss;@"/>
    <numFmt numFmtId="169" formatCode="m/d/yyyy\ 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0" fontId="0" fillId="0" borderId="0" xfId="0" quotePrefix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 indent="1"/>
    </xf>
    <xf numFmtId="11" fontId="0" fillId="0" borderId="0" xfId="0" applyNumberFormat="1"/>
    <xf numFmtId="169" fontId="1" fillId="2" borderId="2" xfId="0" applyNumberFormat="1" applyFont="1" applyFill="1" applyBorder="1" applyAlignment="1"/>
    <xf numFmtId="169" fontId="0" fillId="0" borderId="0" xfId="0" applyNumberFormat="1"/>
    <xf numFmtId="0" fontId="0" fillId="0" borderId="1" xfId="0" applyBorder="1"/>
    <xf numFmtId="169" fontId="0" fillId="0" borderId="1" xfId="0" applyNumberFormat="1" applyBorder="1"/>
    <xf numFmtId="169" fontId="0" fillId="4" borderId="0" xfId="0" applyNumberFormat="1" applyFill="1"/>
    <xf numFmtId="11" fontId="0" fillId="4" borderId="0" xfId="0" applyNumberFormat="1" applyFill="1"/>
    <xf numFmtId="0" fontId="0" fillId="0" borderId="0" xfId="0" applyFill="1"/>
    <xf numFmtId="0" fontId="0" fillId="5" borderId="0" xfId="0" applyFill="1"/>
    <xf numFmtId="169" fontId="0" fillId="0" borderId="0" xfId="0" applyNumberFormat="1" applyFill="1"/>
    <xf numFmtId="14" fontId="1" fillId="0" borderId="1" xfId="0" applyNumberFormat="1" applyFont="1" applyFill="1" applyBorder="1" applyAlignment="1"/>
    <xf numFmtId="0" fontId="0" fillId="0" borderId="1" xfId="0" applyFill="1" applyBorder="1"/>
    <xf numFmtId="0" fontId="0" fillId="0" borderId="3" xfId="0" applyBorder="1"/>
    <xf numFmtId="0" fontId="0" fillId="0" borderId="2" xfId="0" applyBorder="1"/>
    <xf numFmtId="0" fontId="0" fillId="4" borderId="3" xfId="0" applyFill="1" applyBorder="1"/>
    <xf numFmtId="0" fontId="0" fillId="6" borderId="3" xfId="0" applyFill="1" applyBorder="1"/>
    <xf numFmtId="0" fontId="0" fillId="0" borderId="3" xfId="0" applyFill="1" applyBorder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6"/>
          <c:order val="6"/>
          <c:tx>
            <c:strRef>
              <c:f>data!$N$1</c:f>
              <c:strCache>
                <c:ptCount val="1"/>
                <c:pt idx="0">
                  <c:v>CPU VCC (volt)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43053.860196759262</c:v>
                </c:pt>
                <c:pt idx="1">
                  <c:v>43053.860729166663</c:v>
                </c:pt>
                <c:pt idx="2">
                  <c:v>43053.862268518518</c:v>
                </c:pt>
                <c:pt idx="3">
                  <c:v>43053.865173611113</c:v>
                </c:pt>
                <c:pt idx="4">
                  <c:v>43053.867442129631</c:v>
                </c:pt>
                <c:pt idx="5">
                  <c:v>43053.868969907409</c:v>
                </c:pt>
                <c:pt idx="6">
                  <c:v>43053.869340277779</c:v>
                </c:pt>
                <c:pt idx="7">
                  <c:v>43053.872129629628</c:v>
                </c:pt>
                <c:pt idx="8">
                  <c:v>43053.873148148145</c:v>
                </c:pt>
                <c:pt idx="9">
                  <c:v>43053.874872685185</c:v>
                </c:pt>
                <c:pt idx="10">
                  <c:v>43053.874918981484</c:v>
                </c:pt>
                <c:pt idx="11">
                  <c:v>43053.876076388886</c:v>
                </c:pt>
                <c:pt idx="12">
                  <c:v>43053.877708333333</c:v>
                </c:pt>
                <c:pt idx="13">
                  <c:v>43053.877824074072</c:v>
                </c:pt>
                <c:pt idx="14">
                  <c:v>43053.878958333335</c:v>
                </c:pt>
                <c:pt idx="15">
                  <c:v>43053.881840277776</c:v>
                </c:pt>
                <c:pt idx="16">
                  <c:v>43053.882002314815</c:v>
                </c:pt>
                <c:pt idx="17">
                  <c:v>43053.883287037039</c:v>
                </c:pt>
                <c:pt idx="18">
                  <c:v>43053.886076388888</c:v>
                </c:pt>
                <c:pt idx="19">
                  <c:v>43053.888865740744</c:v>
                </c:pt>
                <c:pt idx="20">
                  <c:v>43053.890474537038</c:v>
                </c:pt>
                <c:pt idx="21">
                  <c:v>43053.891655092593</c:v>
                </c:pt>
                <c:pt idx="22">
                  <c:v>43053.89335648148</c:v>
                </c:pt>
                <c:pt idx="23">
                  <c:v>43053.895532407405</c:v>
                </c:pt>
                <c:pt idx="24">
                  <c:v>43053.897233796299</c:v>
                </c:pt>
                <c:pt idx="25">
                  <c:v>43053.89912037037</c:v>
                </c:pt>
                <c:pt idx="26">
                  <c:v>43053.901990740742</c:v>
                </c:pt>
                <c:pt idx="27">
                  <c:v>43053.902662037035</c:v>
                </c:pt>
                <c:pt idx="28">
                  <c:v>43053.902812499997</c:v>
                </c:pt>
              </c:numCache>
              <c:extLst xmlns:c15="http://schemas.microsoft.com/office/drawing/2012/chart"/>
            </c:numRef>
          </c:xVal>
          <c:yVal>
            <c:numRef>
              <c:f>data!$N$2:$N$9999</c:f>
              <c:numCache>
                <c:formatCode>General</c:formatCode>
                <c:ptCount val="9998"/>
                <c:pt idx="0">
                  <c:v>1.1000000000000001</c:v>
                </c:pt>
                <c:pt idx="1">
                  <c:v>1.1000000000000001</c:v>
                </c:pt>
                <c:pt idx="2">
                  <c:v>0</c:v>
                </c:pt>
                <c:pt idx="3">
                  <c:v>1.1000000000000001</c:v>
                </c:pt>
                <c:pt idx="4">
                  <c:v>1.7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1.1000000000000001</c:v>
                </c:pt>
                <c:pt idx="11">
                  <c:v>0</c:v>
                </c:pt>
                <c:pt idx="12">
                  <c:v>1.1000000000000001</c:v>
                </c:pt>
                <c:pt idx="13">
                  <c:v>1.7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0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0</c:v>
                </c:pt>
                <c:pt idx="21">
                  <c:v>1.1000000000000001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1.1000000000000001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267424"/>
        <c:axId val="159526688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data!$M$1</c15:sqref>
                        </c15:formulaRef>
                      </c:ext>
                    </c:extLst>
                    <c:strCache>
                      <c:ptCount val="1"/>
                      <c:pt idx="0">
                        <c:v>prevHdop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43053.860196759262</c:v>
                      </c:pt>
                      <c:pt idx="1">
                        <c:v>43053.860729166663</c:v>
                      </c:pt>
                      <c:pt idx="2">
                        <c:v>43053.862268518518</c:v>
                      </c:pt>
                      <c:pt idx="3">
                        <c:v>43053.865173611113</c:v>
                      </c:pt>
                      <c:pt idx="4">
                        <c:v>43053.867442129631</c:v>
                      </c:pt>
                      <c:pt idx="5">
                        <c:v>43053.868969907409</c:v>
                      </c:pt>
                      <c:pt idx="6">
                        <c:v>43053.869340277779</c:v>
                      </c:pt>
                      <c:pt idx="7">
                        <c:v>43053.872129629628</c:v>
                      </c:pt>
                      <c:pt idx="8">
                        <c:v>43053.873148148145</c:v>
                      </c:pt>
                      <c:pt idx="9">
                        <c:v>43053.874872685185</c:v>
                      </c:pt>
                      <c:pt idx="10">
                        <c:v>43053.874918981484</c:v>
                      </c:pt>
                      <c:pt idx="11">
                        <c:v>43053.876076388886</c:v>
                      </c:pt>
                      <c:pt idx="12">
                        <c:v>43053.877708333333</c:v>
                      </c:pt>
                      <c:pt idx="13">
                        <c:v>43053.877824074072</c:v>
                      </c:pt>
                      <c:pt idx="14">
                        <c:v>43053.878958333335</c:v>
                      </c:pt>
                      <c:pt idx="15">
                        <c:v>43053.881840277776</c:v>
                      </c:pt>
                      <c:pt idx="16">
                        <c:v>43053.882002314815</c:v>
                      </c:pt>
                      <c:pt idx="17">
                        <c:v>43053.883287037039</c:v>
                      </c:pt>
                      <c:pt idx="18">
                        <c:v>43053.886076388888</c:v>
                      </c:pt>
                      <c:pt idx="19">
                        <c:v>43053.888865740744</c:v>
                      </c:pt>
                      <c:pt idx="20">
                        <c:v>43053.890474537038</c:v>
                      </c:pt>
                      <c:pt idx="21">
                        <c:v>43053.891655092593</c:v>
                      </c:pt>
                      <c:pt idx="22">
                        <c:v>43053.89335648148</c:v>
                      </c:pt>
                      <c:pt idx="23">
                        <c:v>43053.895532407405</c:v>
                      </c:pt>
                      <c:pt idx="24">
                        <c:v>43053.897233796299</c:v>
                      </c:pt>
                      <c:pt idx="25">
                        <c:v>43053.89912037037</c:v>
                      </c:pt>
                      <c:pt idx="26">
                        <c:v>43053.901990740742</c:v>
                      </c:pt>
                      <c:pt idx="27">
                        <c:v>43053.902662037035</c:v>
                      </c:pt>
                      <c:pt idx="28">
                        <c:v>43053.902812499997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-90</c:v>
                      </c:pt>
                      <c:pt idx="1">
                        <c:v>-90</c:v>
                      </c:pt>
                      <c:pt idx="2">
                        <c:v>-90</c:v>
                      </c:pt>
                      <c:pt idx="3" formatCode="0.00E+00">
                        <c:v>-5.36441834242396E-6</c:v>
                      </c:pt>
                      <c:pt idx="4" formatCode="0.00E+00">
                        <c:v>-5.36441834242396E-6</c:v>
                      </c:pt>
                      <c:pt idx="5">
                        <c:v>52.632663406888398</c:v>
                      </c:pt>
                      <c:pt idx="6" formatCode="0.00E+00">
                        <c:v>-5.36441834242396E-6</c:v>
                      </c:pt>
                      <c:pt idx="7">
                        <c:v>52.632674135725097</c:v>
                      </c:pt>
                      <c:pt idx="8">
                        <c:v>52.632620491541601</c:v>
                      </c:pt>
                      <c:pt idx="9">
                        <c:v>52.632609762704902</c:v>
                      </c:pt>
                      <c:pt idx="10">
                        <c:v>52.632620491541601</c:v>
                      </c:pt>
                      <c:pt idx="11" formatCode="0.00E+00">
                        <c:v>-5.36441834242396E-6</c:v>
                      </c:pt>
                      <c:pt idx="12">
                        <c:v>52.6325561185214</c:v>
                      </c:pt>
                      <c:pt idx="13">
                        <c:v>52.632523932011303</c:v>
                      </c:pt>
                      <c:pt idx="14" formatCode="0.00E+00">
                        <c:v>-5.36441834242396E-6</c:v>
                      </c:pt>
                      <c:pt idx="15" formatCode="0.00E+00">
                        <c:v>-5.36441834242396E-6</c:v>
                      </c:pt>
                      <c:pt idx="16">
                        <c:v>52.632674135725097</c:v>
                      </c:pt>
                      <c:pt idx="17">
                        <c:v>52.632652678051699</c:v>
                      </c:pt>
                      <c:pt idx="18">
                        <c:v>52.632588305031497</c:v>
                      </c:pt>
                      <c:pt idx="19">
                        <c:v>52.632652678051699</c:v>
                      </c:pt>
                      <c:pt idx="20" formatCode="0.00E+00">
                        <c:v>-5.36441834242396E-6</c:v>
                      </c:pt>
                      <c:pt idx="21">
                        <c:v>52.632620491541601</c:v>
                      </c:pt>
                      <c:pt idx="22" formatCode="0.00E+00">
                        <c:v>-5.36441834242396E-6</c:v>
                      </c:pt>
                      <c:pt idx="23">
                        <c:v>52.632674135725097</c:v>
                      </c:pt>
                      <c:pt idx="24">
                        <c:v>52.632652678051699</c:v>
                      </c:pt>
                      <c:pt idx="25" formatCode="0.00E+00">
                        <c:v>-5.36441834242396E-6</c:v>
                      </c:pt>
                      <c:pt idx="26" formatCode="0.00E+00">
                        <c:v>-5.36441834242396E-6</c:v>
                      </c:pt>
                      <c:pt idx="27">
                        <c:v>52.6326312203783</c:v>
                      </c:pt>
                      <c:pt idx="28">
                        <c:v>52.632620491541601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43053.860196759262</c:v>
                      </c:pt>
                      <c:pt idx="1">
                        <c:v>43053.860729166663</c:v>
                      </c:pt>
                      <c:pt idx="2">
                        <c:v>43053.862268518518</c:v>
                      </c:pt>
                      <c:pt idx="3">
                        <c:v>43053.865173611113</c:v>
                      </c:pt>
                      <c:pt idx="4">
                        <c:v>43053.867442129631</c:v>
                      </c:pt>
                      <c:pt idx="5">
                        <c:v>43053.868969907409</c:v>
                      </c:pt>
                      <c:pt idx="6">
                        <c:v>43053.869340277779</c:v>
                      </c:pt>
                      <c:pt idx="7">
                        <c:v>43053.872129629628</c:v>
                      </c:pt>
                      <c:pt idx="8">
                        <c:v>43053.873148148145</c:v>
                      </c:pt>
                      <c:pt idx="9">
                        <c:v>43053.874872685185</c:v>
                      </c:pt>
                      <c:pt idx="10">
                        <c:v>43053.874918981484</c:v>
                      </c:pt>
                      <c:pt idx="11">
                        <c:v>43053.876076388886</c:v>
                      </c:pt>
                      <c:pt idx="12">
                        <c:v>43053.877708333333</c:v>
                      </c:pt>
                      <c:pt idx="13">
                        <c:v>43053.877824074072</c:v>
                      </c:pt>
                      <c:pt idx="14">
                        <c:v>43053.878958333335</c:v>
                      </c:pt>
                      <c:pt idx="15">
                        <c:v>43053.881840277776</c:v>
                      </c:pt>
                      <c:pt idx="16">
                        <c:v>43053.882002314815</c:v>
                      </c:pt>
                      <c:pt idx="17">
                        <c:v>43053.883287037039</c:v>
                      </c:pt>
                      <c:pt idx="18">
                        <c:v>43053.886076388888</c:v>
                      </c:pt>
                      <c:pt idx="19">
                        <c:v>43053.888865740744</c:v>
                      </c:pt>
                      <c:pt idx="20">
                        <c:v>43053.890474537038</c:v>
                      </c:pt>
                      <c:pt idx="21">
                        <c:v>43053.891655092593</c:v>
                      </c:pt>
                      <c:pt idx="22">
                        <c:v>43053.89335648148</c:v>
                      </c:pt>
                      <c:pt idx="23">
                        <c:v>43053.895532407405</c:v>
                      </c:pt>
                      <c:pt idx="24">
                        <c:v>43053.897233796299</c:v>
                      </c:pt>
                      <c:pt idx="25">
                        <c:v>43053.89912037037</c:v>
                      </c:pt>
                      <c:pt idx="26">
                        <c:v>43053.901990740742</c:v>
                      </c:pt>
                      <c:pt idx="27">
                        <c:v>43053.902662037035</c:v>
                      </c:pt>
                      <c:pt idx="28">
                        <c:v>43053.902812499997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>
                        <c:v>-1.07288366848479E-5</c:v>
                      </c:pt>
                      <c:pt idx="1">
                        <c:v>-1.07288366848479E-5</c:v>
                      </c:pt>
                      <c:pt idx="2">
                        <c:v>-1.07288366848479E-5</c:v>
                      </c:pt>
                      <c:pt idx="3">
                        <c:v>-1.07288366848479E-5</c:v>
                      </c:pt>
                      <c:pt idx="4">
                        <c:v>-1.07288366848479E-5</c:v>
                      </c:pt>
                      <c:pt idx="5" formatCode="General">
                        <c:v>4.7384014569760202</c:v>
                      </c:pt>
                      <c:pt idx="6" formatCode="General">
                        <c:v>4.7384229146493899</c:v>
                      </c:pt>
                      <c:pt idx="7" formatCode="General">
                        <c:v>4.7385302030164098</c:v>
                      </c:pt>
                      <c:pt idx="8" formatCode="General">
                        <c:v>4.7381010495484404</c:v>
                      </c:pt>
                      <c:pt idx="9" formatCode="General">
                        <c:v>4.7383585416292204</c:v>
                      </c:pt>
                      <c:pt idx="10" formatCode="General">
                        <c:v>4.7383799993025901</c:v>
                      </c:pt>
                      <c:pt idx="11">
                        <c:v>-1.07288366848479E-5</c:v>
                      </c:pt>
                      <c:pt idx="12" formatCode="General">
                        <c:v>4.7384014569760202</c:v>
                      </c:pt>
                      <c:pt idx="13" formatCode="General">
                        <c:v>4.7383799993025901</c:v>
                      </c:pt>
                      <c:pt idx="14">
                        <c:v>-1.07288366848479E-5</c:v>
                      </c:pt>
                      <c:pt idx="15">
                        <c:v>-1.07288366848479E-5</c:v>
                      </c:pt>
                      <c:pt idx="16" formatCode="General">
                        <c:v>4.7382083379154096</c:v>
                      </c:pt>
                      <c:pt idx="17" formatCode="General">
                        <c:v>4.7384229146493899</c:v>
                      </c:pt>
                      <c:pt idx="18" formatCode="General">
                        <c:v>4.7383370839557903</c:v>
                      </c:pt>
                      <c:pt idx="19" formatCode="General">
                        <c:v>4.7384014569760202</c:v>
                      </c:pt>
                      <c:pt idx="20">
                        <c:v>-1.07288366848479E-5</c:v>
                      </c:pt>
                      <c:pt idx="21" formatCode="General">
                        <c:v>4.7384658299961799</c:v>
                      </c:pt>
                      <c:pt idx="22">
                        <c:v>-1.07288366848479E-5</c:v>
                      </c:pt>
                      <c:pt idx="23" formatCode="General">
                        <c:v>4.7384014569760202</c:v>
                      </c:pt>
                      <c:pt idx="24" formatCode="General">
                        <c:v>4.7384229146493899</c:v>
                      </c:pt>
                      <c:pt idx="25">
                        <c:v>-1.07288366848479E-5</c:v>
                      </c:pt>
                      <c:pt idx="26">
                        <c:v>-1.07288366848479E-5</c:v>
                      </c:pt>
                      <c:pt idx="27" formatCode="General">
                        <c:v>4.7383799993025901</c:v>
                      </c:pt>
                      <c:pt idx="28" formatCode="General">
                        <c:v>4.7384014569760202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43053.860196759262</c:v>
                      </c:pt>
                      <c:pt idx="1">
                        <c:v>43053.860729166663</c:v>
                      </c:pt>
                      <c:pt idx="2">
                        <c:v>43053.862268518518</c:v>
                      </c:pt>
                      <c:pt idx="3">
                        <c:v>43053.865173611113</c:v>
                      </c:pt>
                      <c:pt idx="4">
                        <c:v>43053.867442129631</c:v>
                      </c:pt>
                      <c:pt idx="5">
                        <c:v>43053.868969907409</c:v>
                      </c:pt>
                      <c:pt idx="6">
                        <c:v>43053.869340277779</c:v>
                      </c:pt>
                      <c:pt idx="7">
                        <c:v>43053.872129629628</c:v>
                      </c:pt>
                      <c:pt idx="8">
                        <c:v>43053.873148148145</c:v>
                      </c:pt>
                      <c:pt idx="9">
                        <c:v>43053.874872685185</c:v>
                      </c:pt>
                      <c:pt idx="10">
                        <c:v>43053.874918981484</c:v>
                      </c:pt>
                      <c:pt idx="11">
                        <c:v>43053.876076388886</c:v>
                      </c:pt>
                      <c:pt idx="12">
                        <c:v>43053.877708333333</c:v>
                      </c:pt>
                      <c:pt idx="13">
                        <c:v>43053.877824074072</c:v>
                      </c:pt>
                      <c:pt idx="14">
                        <c:v>43053.878958333335</c:v>
                      </c:pt>
                      <c:pt idx="15">
                        <c:v>43053.881840277776</c:v>
                      </c:pt>
                      <c:pt idx="16">
                        <c:v>43053.882002314815</c:v>
                      </c:pt>
                      <c:pt idx="17">
                        <c:v>43053.883287037039</c:v>
                      </c:pt>
                      <c:pt idx="18">
                        <c:v>43053.886076388888</c:v>
                      </c:pt>
                      <c:pt idx="19">
                        <c:v>43053.888865740744</c:v>
                      </c:pt>
                      <c:pt idx="20">
                        <c:v>43053.890474537038</c:v>
                      </c:pt>
                      <c:pt idx="21">
                        <c:v>43053.891655092593</c:v>
                      </c:pt>
                      <c:pt idx="22">
                        <c:v>43053.89335648148</c:v>
                      </c:pt>
                      <c:pt idx="23">
                        <c:v>43053.895532407405</c:v>
                      </c:pt>
                      <c:pt idx="24">
                        <c:v>43053.897233796299</c:v>
                      </c:pt>
                      <c:pt idx="25">
                        <c:v>43053.89912037037</c:v>
                      </c:pt>
                      <c:pt idx="26">
                        <c:v>43053.901990740742</c:v>
                      </c:pt>
                      <c:pt idx="27">
                        <c:v>43053.902662037035</c:v>
                      </c:pt>
                      <c:pt idx="28">
                        <c:v>43053.902812499997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>
                        <c:v>-5.36441834242396E-6</c:v>
                      </c:pt>
                      <c:pt idx="1">
                        <c:v>-5.36441834242396E-6</c:v>
                      </c:pt>
                      <c:pt idx="2">
                        <c:v>-5.36441834242396E-6</c:v>
                      </c:pt>
                      <c:pt idx="3">
                        <c:v>-5.36441834242396E-6</c:v>
                      </c:pt>
                      <c:pt idx="4">
                        <c:v>-5.36441834242396E-6</c:v>
                      </c:pt>
                      <c:pt idx="5" formatCode="General">
                        <c:v>52.632599033868203</c:v>
                      </c:pt>
                      <c:pt idx="6" formatCode="General">
                        <c:v>52.632674135725097</c:v>
                      </c:pt>
                      <c:pt idx="7" formatCode="General">
                        <c:v>52.632620491541601</c:v>
                      </c:pt>
                      <c:pt idx="8" formatCode="General">
                        <c:v>52.632674135725097</c:v>
                      </c:pt>
                      <c:pt idx="9" formatCode="General">
                        <c:v>52.632523932011303</c:v>
                      </c:pt>
                      <c:pt idx="10" formatCode="General">
                        <c:v>52.6325561185214</c:v>
                      </c:pt>
                      <c:pt idx="11">
                        <c:v>-5.36441834242396E-6</c:v>
                      </c:pt>
                      <c:pt idx="12" formatCode="General">
                        <c:v>52.632523932011303</c:v>
                      </c:pt>
                      <c:pt idx="13" formatCode="General">
                        <c:v>52.632545389684701</c:v>
                      </c:pt>
                      <c:pt idx="14">
                        <c:v>-5.36441834242396E-6</c:v>
                      </c:pt>
                      <c:pt idx="15">
                        <c:v>-5.36441834242396E-6</c:v>
                      </c:pt>
                      <c:pt idx="16" formatCode="General">
                        <c:v>52.632674135725097</c:v>
                      </c:pt>
                      <c:pt idx="17" formatCode="General">
                        <c:v>52.632588305031497</c:v>
                      </c:pt>
                      <c:pt idx="18" formatCode="General">
                        <c:v>52.632652678051699</c:v>
                      </c:pt>
                      <c:pt idx="19" formatCode="General">
                        <c:v>52.632620491541601</c:v>
                      </c:pt>
                      <c:pt idx="20">
                        <c:v>-5.36441834242396E-6</c:v>
                      </c:pt>
                      <c:pt idx="21" formatCode="General">
                        <c:v>52.632674135725097</c:v>
                      </c:pt>
                      <c:pt idx="22">
                        <c:v>-5.36441834242396E-6</c:v>
                      </c:pt>
                      <c:pt idx="23" formatCode="General">
                        <c:v>52.632684864561803</c:v>
                      </c:pt>
                      <c:pt idx="24" formatCode="General">
                        <c:v>52.632674135725097</c:v>
                      </c:pt>
                      <c:pt idx="25">
                        <c:v>-5.36441834242396E-6</c:v>
                      </c:pt>
                      <c:pt idx="26">
                        <c:v>-5.36441834242396E-6</c:v>
                      </c:pt>
                      <c:pt idx="27" formatCode="General">
                        <c:v>52.632652678051699</c:v>
                      </c:pt>
                      <c:pt idx="28" formatCode="General">
                        <c:v>52.632609762704902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43053.860196759262</c:v>
                      </c:pt>
                      <c:pt idx="1">
                        <c:v>43053.860729166663</c:v>
                      </c:pt>
                      <c:pt idx="2">
                        <c:v>43053.862268518518</c:v>
                      </c:pt>
                      <c:pt idx="3">
                        <c:v>43053.865173611113</c:v>
                      </c:pt>
                      <c:pt idx="4">
                        <c:v>43053.867442129631</c:v>
                      </c:pt>
                      <c:pt idx="5">
                        <c:v>43053.868969907409</c:v>
                      </c:pt>
                      <c:pt idx="6">
                        <c:v>43053.869340277779</c:v>
                      </c:pt>
                      <c:pt idx="7">
                        <c:v>43053.872129629628</c:v>
                      </c:pt>
                      <c:pt idx="8">
                        <c:v>43053.873148148145</c:v>
                      </c:pt>
                      <c:pt idx="9">
                        <c:v>43053.874872685185</c:v>
                      </c:pt>
                      <c:pt idx="10">
                        <c:v>43053.874918981484</c:v>
                      </c:pt>
                      <c:pt idx="11">
                        <c:v>43053.876076388886</c:v>
                      </c:pt>
                      <c:pt idx="12">
                        <c:v>43053.877708333333</c:v>
                      </c:pt>
                      <c:pt idx="13">
                        <c:v>43053.877824074072</c:v>
                      </c:pt>
                      <c:pt idx="14">
                        <c:v>43053.878958333335</c:v>
                      </c:pt>
                      <c:pt idx="15">
                        <c:v>43053.881840277776</c:v>
                      </c:pt>
                      <c:pt idx="16">
                        <c:v>43053.882002314815</c:v>
                      </c:pt>
                      <c:pt idx="17">
                        <c:v>43053.883287037039</c:v>
                      </c:pt>
                      <c:pt idx="18">
                        <c:v>43053.886076388888</c:v>
                      </c:pt>
                      <c:pt idx="19">
                        <c:v>43053.888865740744</c:v>
                      </c:pt>
                      <c:pt idx="20">
                        <c:v>43053.890474537038</c:v>
                      </c:pt>
                      <c:pt idx="21">
                        <c:v>43053.891655092593</c:v>
                      </c:pt>
                      <c:pt idx="22">
                        <c:v>43053.89335648148</c:v>
                      </c:pt>
                      <c:pt idx="23">
                        <c:v>43053.895532407405</c:v>
                      </c:pt>
                      <c:pt idx="24">
                        <c:v>43053.897233796299</c:v>
                      </c:pt>
                      <c:pt idx="25">
                        <c:v>43053.89912037037</c:v>
                      </c:pt>
                      <c:pt idx="26">
                        <c:v>43053.901990740742</c:v>
                      </c:pt>
                      <c:pt idx="27">
                        <c:v>43053.902662037035</c:v>
                      </c:pt>
                      <c:pt idx="28">
                        <c:v>43053.902812499997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678</c:v>
                      </c:pt>
                      <c:pt idx="1">
                        <c:v>678</c:v>
                      </c:pt>
                      <c:pt idx="2">
                        <c:v>678</c:v>
                      </c:pt>
                      <c:pt idx="3">
                        <c:v>678</c:v>
                      </c:pt>
                      <c:pt idx="4">
                        <c:v>678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678</c:v>
                      </c:pt>
                      <c:pt idx="12">
                        <c:v>14</c:v>
                      </c:pt>
                      <c:pt idx="13">
                        <c:v>9</c:v>
                      </c:pt>
                      <c:pt idx="14">
                        <c:v>678</c:v>
                      </c:pt>
                      <c:pt idx="15">
                        <c:v>678</c:v>
                      </c:pt>
                      <c:pt idx="16">
                        <c:v>27</c:v>
                      </c:pt>
                      <c:pt idx="17">
                        <c:v>13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678</c:v>
                      </c:pt>
                      <c:pt idx="21">
                        <c:v>0</c:v>
                      </c:pt>
                      <c:pt idx="22">
                        <c:v>678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678</c:v>
                      </c:pt>
                      <c:pt idx="26">
                        <c:v>678</c:v>
                      </c:pt>
                      <c:pt idx="27">
                        <c:v>0</c:v>
                      </c:pt>
                      <c:pt idx="28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4"/>
                <c:order val="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prevLon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43053.860196759262</c:v>
                      </c:pt>
                      <c:pt idx="1">
                        <c:v>43053.860729166663</c:v>
                      </c:pt>
                      <c:pt idx="2">
                        <c:v>43053.862268518518</c:v>
                      </c:pt>
                      <c:pt idx="3">
                        <c:v>43053.865173611113</c:v>
                      </c:pt>
                      <c:pt idx="4">
                        <c:v>43053.867442129631</c:v>
                      </c:pt>
                      <c:pt idx="5">
                        <c:v>43053.868969907409</c:v>
                      </c:pt>
                      <c:pt idx="6">
                        <c:v>43053.869340277779</c:v>
                      </c:pt>
                      <c:pt idx="7">
                        <c:v>43053.872129629628</c:v>
                      </c:pt>
                      <c:pt idx="8">
                        <c:v>43053.873148148145</c:v>
                      </c:pt>
                      <c:pt idx="9">
                        <c:v>43053.874872685185</c:v>
                      </c:pt>
                      <c:pt idx="10">
                        <c:v>43053.874918981484</c:v>
                      </c:pt>
                      <c:pt idx="11">
                        <c:v>43053.876076388886</c:v>
                      </c:pt>
                      <c:pt idx="12">
                        <c:v>43053.877708333333</c:v>
                      </c:pt>
                      <c:pt idx="13">
                        <c:v>43053.877824074072</c:v>
                      </c:pt>
                      <c:pt idx="14">
                        <c:v>43053.878958333335</c:v>
                      </c:pt>
                      <c:pt idx="15">
                        <c:v>43053.881840277776</c:v>
                      </c:pt>
                      <c:pt idx="16">
                        <c:v>43053.882002314815</c:v>
                      </c:pt>
                      <c:pt idx="17">
                        <c:v>43053.883287037039</c:v>
                      </c:pt>
                      <c:pt idx="18">
                        <c:v>43053.886076388888</c:v>
                      </c:pt>
                      <c:pt idx="19">
                        <c:v>43053.888865740744</c:v>
                      </c:pt>
                      <c:pt idx="20">
                        <c:v>43053.890474537038</c:v>
                      </c:pt>
                      <c:pt idx="21">
                        <c:v>43053.891655092593</c:v>
                      </c:pt>
                      <c:pt idx="22">
                        <c:v>43053.89335648148</c:v>
                      </c:pt>
                      <c:pt idx="23">
                        <c:v>43053.895532407405</c:v>
                      </c:pt>
                      <c:pt idx="24">
                        <c:v>43053.897233796299</c:v>
                      </c:pt>
                      <c:pt idx="25">
                        <c:v>43053.89912037037</c:v>
                      </c:pt>
                      <c:pt idx="26">
                        <c:v>43053.901990740742</c:v>
                      </c:pt>
                      <c:pt idx="27">
                        <c:v>43053.902662037035</c:v>
                      </c:pt>
                      <c:pt idx="28">
                        <c:v>43053.902812499997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20.2</c:v>
                      </c:pt>
                      <c:pt idx="1">
                        <c:v>20.2</c:v>
                      </c:pt>
                      <c:pt idx="2">
                        <c:v>20.2</c:v>
                      </c:pt>
                      <c:pt idx="3">
                        <c:v>20.2</c:v>
                      </c:pt>
                      <c:pt idx="4">
                        <c:v>20.2</c:v>
                      </c:pt>
                      <c:pt idx="5">
                        <c:v>0.7</c:v>
                      </c:pt>
                      <c:pt idx="6">
                        <c:v>1</c:v>
                      </c:pt>
                      <c:pt idx="7">
                        <c:v>1.1000000000000001</c:v>
                      </c:pt>
                      <c:pt idx="8">
                        <c:v>0.7</c:v>
                      </c:pt>
                      <c:pt idx="9">
                        <c:v>0.6</c:v>
                      </c:pt>
                      <c:pt idx="10">
                        <c:v>0.9</c:v>
                      </c:pt>
                      <c:pt idx="11">
                        <c:v>20.2</c:v>
                      </c:pt>
                      <c:pt idx="12">
                        <c:v>0.8</c:v>
                      </c:pt>
                      <c:pt idx="13">
                        <c:v>0.7</c:v>
                      </c:pt>
                      <c:pt idx="14">
                        <c:v>20.2</c:v>
                      </c:pt>
                      <c:pt idx="15">
                        <c:v>20.2</c:v>
                      </c:pt>
                      <c:pt idx="16">
                        <c:v>0.7</c:v>
                      </c:pt>
                      <c:pt idx="17">
                        <c:v>0.8</c:v>
                      </c:pt>
                      <c:pt idx="18">
                        <c:v>0.8</c:v>
                      </c:pt>
                      <c:pt idx="19">
                        <c:v>0.9</c:v>
                      </c:pt>
                      <c:pt idx="20">
                        <c:v>20.2</c:v>
                      </c:pt>
                      <c:pt idx="21">
                        <c:v>0.9</c:v>
                      </c:pt>
                      <c:pt idx="22">
                        <c:v>20.2</c:v>
                      </c:pt>
                      <c:pt idx="23">
                        <c:v>0.7</c:v>
                      </c:pt>
                      <c:pt idx="24">
                        <c:v>0.8</c:v>
                      </c:pt>
                      <c:pt idx="25">
                        <c:v>20.2</c:v>
                      </c:pt>
                      <c:pt idx="26">
                        <c:v>20.2</c:v>
                      </c:pt>
                      <c:pt idx="27">
                        <c:v>0.8</c:v>
                      </c:pt>
                      <c:pt idx="28">
                        <c:v>0.7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3"/>
          <c:tx>
            <c:strRef>
              <c:f>data!$P$1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43053.860196759262</c:v>
                </c:pt>
                <c:pt idx="1">
                  <c:v>43053.860729166663</c:v>
                </c:pt>
                <c:pt idx="2">
                  <c:v>43053.862268518518</c:v>
                </c:pt>
                <c:pt idx="3">
                  <c:v>43053.865173611113</c:v>
                </c:pt>
                <c:pt idx="4">
                  <c:v>43053.867442129631</c:v>
                </c:pt>
                <c:pt idx="5">
                  <c:v>43053.868969907409</c:v>
                </c:pt>
                <c:pt idx="6">
                  <c:v>43053.869340277779</c:v>
                </c:pt>
                <c:pt idx="7">
                  <c:v>43053.872129629628</c:v>
                </c:pt>
                <c:pt idx="8">
                  <c:v>43053.873148148145</c:v>
                </c:pt>
                <c:pt idx="9">
                  <c:v>43053.874872685185</c:v>
                </c:pt>
                <c:pt idx="10">
                  <c:v>43053.874918981484</c:v>
                </c:pt>
                <c:pt idx="11">
                  <c:v>43053.876076388886</c:v>
                </c:pt>
                <c:pt idx="12">
                  <c:v>43053.877708333333</c:v>
                </c:pt>
                <c:pt idx="13">
                  <c:v>43053.877824074072</c:v>
                </c:pt>
                <c:pt idx="14">
                  <c:v>43053.878958333335</c:v>
                </c:pt>
                <c:pt idx="15">
                  <c:v>43053.881840277776</c:v>
                </c:pt>
                <c:pt idx="16">
                  <c:v>43053.882002314815</c:v>
                </c:pt>
                <c:pt idx="17">
                  <c:v>43053.883287037039</c:v>
                </c:pt>
                <c:pt idx="18">
                  <c:v>43053.886076388888</c:v>
                </c:pt>
                <c:pt idx="19">
                  <c:v>43053.888865740744</c:v>
                </c:pt>
                <c:pt idx="20">
                  <c:v>43053.890474537038</c:v>
                </c:pt>
                <c:pt idx="21">
                  <c:v>43053.891655092593</c:v>
                </c:pt>
                <c:pt idx="22">
                  <c:v>43053.89335648148</c:v>
                </c:pt>
                <c:pt idx="23">
                  <c:v>43053.895532407405</c:v>
                </c:pt>
                <c:pt idx="24">
                  <c:v>43053.897233796299</c:v>
                </c:pt>
                <c:pt idx="25">
                  <c:v>43053.89912037037</c:v>
                </c:pt>
                <c:pt idx="26">
                  <c:v>43053.901990740742</c:v>
                </c:pt>
                <c:pt idx="27">
                  <c:v>43053.902662037035</c:v>
                </c:pt>
                <c:pt idx="28">
                  <c:v>43053.902812499997</c:v>
                </c:pt>
              </c:numCache>
              <c:extLst xmlns:c15="http://schemas.microsoft.com/office/drawing/2012/chart"/>
            </c:numRef>
          </c:xVal>
          <c:yVal>
            <c:numRef>
              <c:f>data!$P$2:$P$9999</c:f>
              <c:numCache>
                <c:formatCode>General</c:formatCode>
                <c:ptCount val="9998"/>
                <c:pt idx="0">
                  <c:v>59</c:v>
                </c:pt>
                <c:pt idx="1">
                  <c:v>60</c:v>
                </c:pt>
                <c:pt idx="2">
                  <c:v>60</c:v>
                </c:pt>
                <c:pt idx="3">
                  <c:v>-9</c:v>
                </c:pt>
                <c:pt idx="4">
                  <c:v>-6</c:v>
                </c:pt>
                <c:pt idx="5">
                  <c:v>60</c:v>
                </c:pt>
                <c:pt idx="6">
                  <c:v>-9</c:v>
                </c:pt>
                <c:pt idx="7">
                  <c:v>-9</c:v>
                </c:pt>
                <c:pt idx="8">
                  <c:v>-8</c:v>
                </c:pt>
                <c:pt idx="9">
                  <c:v>57</c:v>
                </c:pt>
                <c:pt idx="10">
                  <c:v>-9</c:v>
                </c:pt>
                <c:pt idx="11">
                  <c:v>-7</c:v>
                </c:pt>
                <c:pt idx="12">
                  <c:v>60</c:v>
                </c:pt>
                <c:pt idx="13">
                  <c:v>55</c:v>
                </c:pt>
                <c:pt idx="14">
                  <c:v>-8</c:v>
                </c:pt>
                <c:pt idx="15">
                  <c:v>-9</c:v>
                </c:pt>
                <c:pt idx="16">
                  <c:v>-8</c:v>
                </c:pt>
                <c:pt idx="17">
                  <c:v>60</c:v>
                </c:pt>
                <c:pt idx="18">
                  <c:v>-9</c:v>
                </c:pt>
                <c:pt idx="19">
                  <c:v>60</c:v>
                </c:pt>
                <c:pt idx="20">
                  <c:v>-7</c:v>
                </c:pt>
                <c:pt idx="21">
                  <c:v>-9</c:v>
                </c:pt>
                <c:pt idx="22">
                  <c:v>-7</c:v>
                </c:pt>
                <c:pt idx="23">
                  <c:v>-9</c:v>
                </c:pt>
                <c:pt idx="24">
                  <c:v>-9</c:v>
                </c:pt>
                <c:pt idx="25">
                  <c:v>-8</c:v>
                </c:pt>
                <c:pt idx="26">
                  <c:v>-7</c:v>
                </c:pt>
                <c:pt idx="27">
                  <c:v>-8</c:v>
                </c:pt>
                <c:pt idx="28">
                  <c:v>-9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data!$O$1</c:f>
              <c:strCache>
                <c:ptCount val="1"/>
                <c:pt idx="0">
                  <c:v>Vbatt (volt)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43053.860196759262</c:v>
                </c:pt>
                <c:pt idx="1">
                  <c:v>43053.860729166663</c:v>
                </c:pt>
                <c:pt idx="2">
                  <c:v>43053.862268518518</c:v>
                </c:pt>
                <c:pt idx="3">
                  <c:v>43053.865173611113</c:v>
                </c:pt>
                <c:pt idx="4">
                  <c:v>43053.867442129631</c:v>
                </c:pt>
                <c:pt idx="5">
                  <c:v>43053.868969907409</c:v>
                </c:pt>
                <c:pt idx="6">
                  <c:v>43053.869340277779</c:v>
                </c:pt>
                <c:pt idx="7">
                  <c:v>43053.872129629628</c:v>
                </c:pt>
                <c:pt idx="8">
                  <c:v>43053.873148148145</c:v>
                </c:pt>
                <c:pt idx="9">
                  <c:v>43053.874872685185</c:v>
                </c:pt>
                <c:pt idx="10">
                  <c:v>43053.874918981484</c:v>
                </c:pt>
                <c:pt idx="11">
                  <c:v>43053.876076388886</c:v>
                </c:pt>
                <c:pt idx="12">
                  <c:v>43053.877708333333</c:v>
                </c:pt>
                <c:pt idx="13">
                  <c:v>43053.877824074072</c:v>
                </c:pt>
                <c:pt idx="14">
                  <c:v>43053.878958333335</c:v>
                </c:pt>
                <c:pt idx="15">
                  <c:v>43053.881840277776</c:v>
                </c:pt>
                <c:pt idx="16">
                  <c:v>43053.882002314815</c:v>
                </c:pt>
                <c:pt idx="17">
                  <c:v>43053.883287037039</c:v>
                </c:pt>
                <c:pt idx="18">
                  <c:v>43053.886076388888</c:v>
                </c:pt>
                <c:pt idx="19">
                  <c:v>43053.888865740744</c:v>
                </c:pt>
                <c:pt idx="20">
                  <c:v>43053.890474537038</c:v>
                </c:pt>
                <c:pt idx="21">
                  <c:v>43053.891655092593</c:v>
                </c:pt>
                <c:pt idx="22">
                  <c:v>43053.89335648148</c:v>
                </c:pt>
                <c:pt idx="23">
                  <c:v>43053.895532407405</c:v>
                </c:pt>
                <c:pt idx="24">
                  <c:v>43053.897233796299</c:v>
                </c:pt>
                <c:pt idx="25">
                  <c:v>43053.89912037037</c:v>
                </c:pt>
                <c:pt idx="26">
                  <c:v>43053.901990740742</c:v>
                </c:pt>
                <c:pt idx="27">
                  <c:v>43053.902662037035</c:v>
                </c:pt>
                <c:pt idx="28">
                  <c:v>43053.902812499997</c:v>
                </c:pt>
              </c:numCache>
              <c:extLst xmlns:c15="http://schemas.microsoft.com/office/drawing/2012/chart"/>
            </c:numRef>
          </c:xVal>
          <c:yVal>
            <c:numRef>
              <c:f>data!$O$2:$O$9999</c:f>
              <c:numCache>
                <c:formatCode>General</c:formatCode>
                <c:ptCount val="9998"/>
                <c:pt idx="0">
                  <c:v>3.96</c:v>
                </c:pt>
                <c:pt idx="1">
                  <c:v>4.46</c:v>
                </c:pt>
                <c:pt idx="2">
                  <c:v>4.22</c:v>
                </c:pt>
                <c:pt idx="3">
                  <c:v>4.42</c:v>
                </c:pt>
                <c:pt idx="4">
                  <c:v>4.3</c:v>
                </c:pt>
                <c:pt idx="5">
                  <c:v>4.1399999999999997</c:v>
                </c:pt>
                <c:pt idx="6">
                  <c:v>4.4800000000000004</c:v>
                </c:pt>
                <c:pt idx="7">
                  <c:v>4.4800000000000004</c:v>
                </c:pt>
                <c:pt idx="8">
                  <c:v>3.88</c:v>
                </c:pt>
                <c:pt idx="9">
                  <c:v>4.1399999999999997</c:v>
                </c:pt>
                <c:pt idx="10">
                  <c:v>4.38</c:v>
                </c:pt>
                <c:pt idx="11">
                  <c:v>4.3600000000000003</c:v>
                </c:pt>
                <c:pt idx="12">
                  <c:v>4.4000000000000004</c:v>
                </c:pt>
                <c:pt idx="13">
                  <c:v>4.1399999999999997</c:v>
                </c:pt>
                <c:pt idx="14">
                  <c:v>4.32</c:v>
                </c:pt>
                <c:pt idx="15">
                  <c:v>4.3600000000000003</c:v>
                </c:pt>
                <c:pt idx="16">
                  <c:v>3.84</c:v>
                </c:pt>
                <c:pt idx="17">
                  <c:v>4.4000000000000004</c:v>
                </c:pt>
                <c:pt idx="18">
                  <c:v>4.4800000000000004</c:v>
                </c:pt>
                <c:pt idx="19">
                  <c:v>4.4000000000000004</c:v>
                </c:pt>
                <c:pt idx="20">
                  <c:v>4.3600000000000003</c:v>
                </c:pt>
                <c:pt idx="21">
                  <c:v>4.4800000000000004</c:v>
                </c:pt>
                <c:pt idx="22">
                  <c:v>4.3600000000000003</c:v>
                </c:pt>
                <c:pt idx="23">
                  <c:v>4.26</c:v>
                </c:pt>
                <c:pt idx="24">
                  <c:v>4.38</c:v>
                </c:pt>
                <c:pt idx="25">
                  <c:v>4.32</c:v>
                </c:pt>
                <c:pt idx="26">
                  <c:v>4.3600000000000003</c:v>
                </c:pt>
                <c:pt idx="27">
                  <c:v>4.3</c:v>
                </c:pt>
                <c:pt idx="28">
                  <c:v>4.4800000000000004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500592"/>
        <c:axId val="1663502768"/>
      </c:scatterChart>
      <c:valAx>
        <c:axId val="15952668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95267424"/>
        <c:crosses val="max"/>
        <c:crossBetween val="midCat"/>
      </c:valAx>
      <c:valAx>
        <c:axId val="159526742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595266880"/>
        <c:crosses val="autoZero"/>
        <c:crossBetween val="midCat"/>
      </c:valAx>
      <c:valAx>
        <c:axId val="1663502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63500592"/>
        <c:crossBetween val="midCat"/>
      </c:valAx>
      <c:valAx>
        <c:axId val="166350059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63502768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Payload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43053.860196759262</c:v>
                </c:pt>
                <c:pt idx="1">
                  <c:v>43053.860729166663</c:v>
                </c:pt>
                <c:pt idx="2">
                  <c:v>43053.862268518518</c:v>
                </c:pt>
                <c:pt idx="3">
                  <c:v>43053.865173611113</c:v>
                </c:pt>
                <c:pt idx="4">
                  <c:v>43053.867442129631</c:v>
                </c:pt>
                <c:pt idx="5">
                  <c:v>43053.868969907409</c:v>
                </c:pt>
                <c:pt idx="6">
                  <c:v>43053.869340277779</c:v>
                </c:pt>
                <c:pt idx="7">
                  <c:v>43053.872129629628</c:v>
                </c:pt>
                <c:pt idx="8">
                  <c:v>43053.873148148145</c:v>
                </c:pt>
                <c:pt idx="9">
                  <c:v>43053.874872685185</c:v>
                </c:pt>
                <c:pt idx="10">
                  <c:v>43053.874918981484</c:v>
                </c:pt>
                <c:pt idx="11">
                  <c:v>43053.876076388886</c:v>
                </c:pt>
                <c:pt idx="12">
                  <c:v>43053.877708333333</c:v>
                </c:pt>
                <c:pt idx="13">
                  <c:v>43053.877824074072</c:v>
                </c:pt>
                <c:pt idx="14">
                  <c:v>43053.878958333335</c:v>
                </c:pt>
                <c:pt idx="15">
                  <c:v>43053.881840277776</c:v>
                </c:pt>
                <c:pt idx="16">
                  <c:v>43053.882002314815</c:v>
                </c:pt>
                <c:pt idx="17">
                  <c:v>43053.883287037039</c:v>
                </c:pt>
                <c:pt idx="18">
                  <c:v>43053.886076388888</c:v>
                </c:pt>
                <c:pt idx="19">
                  <c:v>43053.888865740744</c:v>
                </c:pt>
                <c:pt idx="20">
                  <c:v>43053.890474537038</c:v>
                </c:pt>
                <c:pt idx="21">
                  <c:v>43053.891655092593</c:v>
                </c:pt>
                <c:pt idx="22">
                  <c:v>43053.89335648148</c:v>
                </c:pt>
                <c:pt idx="23">
                  <c:v>43053.895532407405</c:v>
                </c:pt>
                <c:pt idx="24">
                  <c:v>43053.897233796299</c:v>
                </c:pt>
                <c:pt idx="25">
                  <c:v>43053.89912037037</c:v>
                </c:pt>
                <c:pt idx="26">
                  <c:v>43053.901990740742</c:v>
                </c:pt>
                <c:pt idx="27">
                  <c:v>43053.902662037035</c:v>
                </c:pt>
                <c:pt idx="28">
                  <c:v>43053.902812499997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43053.860196759262</c:v>
                </c:pt>
                <c:pt idx="1">
                  <c:v>43053.860729166663</c:v>
                </c:pt>
                <c:pt idx="2">
                  <c:v>43053.862268518518</c:v>
                </c:pt>
                <c:pt idx="3">
                  <c:v>43053.865173611113</c:v>
                </c:pt>
                <c:pt idx="4">
                  <c:v>43053.867442129631</c:v>
                </c:pt>
                <c:pt idx="5">
                  <c:v>43053.868969907409</c:v>
                </c:pt>
                <c:pt idx="6">
                  <c:v>43053.869340277779</c:v>
                </c:pt>
                <c:pt idx="7">
                  <c:v>43053.872129629628</c:v>
                </c:pt>
                <c:pt idx="8">
                  <c:v>43053.873148148145</c:v>
                </c:pt>
                <c:pt idx="9">
                  <c:v>43053.874872685185</c:v>
                </c:pt>
                <c:pt idx="10">
                  <c:v>43053.874918981484</c:v>
                </c:pt>
                <c:pt idx="11">
                  <c:v>43053.876076388886</c:v>
                </c:pt>
                <c:pt idx="12">
                  <c:v>43053.877708333333</c:v>
                </c:pt>
                <c:pt idx="13">
                  <c:v>43053.877824074072</c:v>
                </c:pt>
                <c:pt idx="14">
                  <c:v>43053.878958333335</c:v>
                </c:pt>
                <c:pt idx="15">
                  <c:v>43053.881840277776</c:v>
                </c:pt>
                <c:pt idx="16">
                  <c:v>43053.882002314815</c:v>
                </c:pt>
                <c:pt idx="17">
                  <c:v>43053.883287037039</c:v>
                </c:pt>
                <c:pt idx="18">
                  <c:v>43053.886076388888</c:v>
                </c:pt>
                <c:pt idx="19">
                  <c:v>43053.888865740744</c:v>
                </c:pt>
                <c:pt idx="20">
                  <c:v>43053.890474537038</c:v>
                </c:pt>
                <c:pt idx="21">
                  <c:v>43053.891655092593</c:v>
                </c:pt>
                <c:pt idx="22">
                  <c:v>43053.89335648148</c:v>
                </c:pt>
                <c:pt idx="23">
                  <c:v>43053.895532407405</c:v>
                </c:pt>
                <c:pt idx="24">
                  <c:v>43053.897233796299</c:v>
                </c:pt>
                <c:pt idx="25">
                  <c:v>43053.89912037037</c:v>
                </c:pt>
                <c:pt idx="26">
                  <c:v>43053.901990740742</c:v>
                </c:pt>
                <c:pt idx="27">
                  <c:v>43053.902662037035</c:v>
                </c:pt>
                <c:pt idx="28">
                  <c:v>43053.902812499997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0.00E+00</c:formatCode>
                <c:ptCount val="9998"/>
                <c:pt idx="0">
                  <c:v>-5.36441834242396E-6</c:v>
                </c:pt>
                <c:pt idx="1">
                  <c:v>-5.36441834242396E-6</c:v>
                </c:pt>
                <c:pt idx="2">
                  <c:v>-5.36441834242396E-6</c:v>
                </c:pt>
                <c:pt idx="3">
                  <c:v>-5.36441834242396E-6</c:v>
                </c:pt>
                <c:pt idx="4">
                  <c:v>-5.36441834242396E-6</c:v>
                </c:pt>
                <c:pt idx="5" formatCode="General">
                  <c:v>52.632599033868203</c:v>
                </c:pt>
                <c:pt idx="6" formatCode="General">
                  <c:v>52.632674135725097</c:v>
                </c:pt>
                <c:pt idx="7" formatCode="General">
                  <c:v>52.632620491541601</c:v>
                </c:pt>
                <c:pt idx="8" formatCode="General">
                  <c:v>52.632674135725097</c:v>
                </c:pt>
                <c:pt idx="9" formatCode="General">
                  <c:v>52.632523932011303</c:v>
                </c:pt>
                <c:pt idx="10" formatCode="General">
                  <c:v>52.6325561185214</c:v>
                </c:pt>
                <c:pt idx="11">
                  <c:v>-5.36441834242396E-6</c:v>
                </c:pt>
                <c:pt idx="12" formatCode="General">
                  <c:v>52.632523932011303</c:v>
                </c:pt>
                <c:pt idx="13" formatCode="General">
                  <c:v>52.632545389684701</c:v>
                </c:pt>
                <c:pt idx="14">
                  <c:v>-5.36441834242396E-6</c:v>
                </c:pt>
                <c:pt idx="15">
                  <c:v>-5.36441834242396E-6</c:v>
                </c:pt>
                <c:pt idx="16" formatCode="General">
                  <c:v>52.632674135725097</c:v>
                </c:pt>
                <c:pt idx="17" formatCode="General">
                  <c:v>52.632588305031497</c:v>
                </c:pt>
                <c:pt idx="18" formatCode="General">
                  <c:v>52.632652678051699</c:v>
                </c:pt>
                <c:pt idx="19" formatCode="General">
                  <c:v>52.632620491541601</c:v>
                </c:pt>
                <c:pt idx="20">
                  <c:v>-5.36441834242396E-6</c:v>
                </c:pt>
                <c:pt idx="21" formatCode="General">
                  <c:v>52.632674135725097</c:v>
                </c:pt>
                <c:pt idx="22">
                  <c:v>-5.36441834242396E-6</c:v>
                </c:pt>
                <c:pt idx="23" formatCode="General">
                  <c:v>52.632684864561803</c:v>
                </c:pt>
                <c:pt idx="24" formatCode="General">
                  <c:v>52.632674135725097</c:v>
                </c:pt>
                <c:pt idx="25">
                  <c:v>-5.36441834242396E-6</c:v>
                </c:pt>
                <c:pt idx="26">
                  <c:v>-5.36441834242396E-6</c:v>
                </c:pt>
                <c:pt idx="27" formatCode="General">
                  <c:v>52.632652678051699</c:v>
                </c:pt>
                <c:pt idx="28" formatCode="General">
                  <c:v>52.632609762704902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3700720"/>
        <c:axId val="14136985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data!$M$1</c15:sqref>
                        </c15:formulaRef>
                      </c:ext>
                    </c:extLst>
                    <c:strCache>
                      <c:ptCount val="1"/>
                      <c:pt idx="0">
                        <c:v>prevHdop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43053.860196759262</c:v>
                      </c:pt>
                      <c:pt idx="1">
                        <c:v>43053.860729166663</c:v>
                      </c:pt>
                      <c:pt idx="2">
                        <c:v>43053.862268518518</c:v>
                      </c:pt>
                      <c:pt idx="3">
                        <c:v>43053.865173611113</c:v>
                      </c:pt>
                      <c:pt idx="4">
                        <c:v>43053.867442129631</c:v>
                      </c:pt>
                      <c:pt idx="5">
                        <c:v>43053.868969907409</c:v>
                      </c:pt>
                      <c:pt idx="6">
                        <c:v>43053.869340277779</c:v>
                      </c:pt>
                      <c:pt idx="7">
                        <c:v>43053.872129629628</c:v>
                      </c:pt>
                      <c:pt idx="8">
                        <c:v>43053.873148148145</c:v>
                      </c:pt>
                      <c:pt idx="9">
                        <c:v>43053.874872685185</c:v>
                      </c:pt>
                      <c:pt idx="10">
                        <c:v>43053.874918981484</c:v>
                      </c:pt>
                      <c:pt idx="11">
                        <c:v>43053.876076388886</c:v>
                      </c:pt>
                      <c:pt idx="12">
                        <c:v>43053.877708333333</c:v>
                      </c:pt>
                      <c:pt idx="13">
                        <c:v>43053.877824074072</c:v>
                      </c:pt>
                      <c:pt idx="14">
                        <c:v>43053.878958333335</c:v>
                      </c:pt>
                      <c:pt idx="15">
                        <c:v>43053.881840277776</c:v>
                      </c:pt>
                      <c:pt idx="16">
                        <c:v>43053.882002314815</c:v>
                      </c:pt>
                      <c:pt idx="17">
                        <c:v>43053.883287037039</c:v>
                      </c:pt>
                      <c:pt idx="18">
                        <c:v>43053.886076388888</c:v>
                      </c:pt>
                      <c:pt idx="19">
                        <c:v>43053.888865740744</c:v>
                      </c:pt>
                      <c:pt idx="20">
                        <c:v>43053.890474537038</c:v>
                      </c:pt>
                      <c:pt idx="21">
                        <c:v>43053.891655092593</c:v>
                      </c:pt>
                      <c:pt idx="22">
                        <c:v>43053.89335648148</c:v>
                      </c:pt>
                      <c:pt idx="23">
                        <c:v>43053.895532407405</c:v>
                      </c:pt>
                      <c:pt idx="24">
                        <c:v>43053.897233796299</c:v>
                      </c:pt>
                      <c:pt idx="25">
                        <c:v>43053.89912037037</c:v>
                      </c:pt>
                      <c:pt idx="26">
                        <c:v>43053.901990740742</c:v>
                      </c:pt>
                      <c:pt idx="27">
                        <c:v>43053.902662037035</c:v>
                      </c:pt>
                      <c:pt idx="28">
                        <c:v>43053.902812499997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-90</c:v>
                      </c:pt>
                      <c:pt idx="1">
                        <c:v>-90</c:v>
                      </c:pt>
                      <c:pt idx="2">
                        <c:v>-90</c:v>
                      </c:pt>
                      <c:pt idx="3" formatCode="0.00E+00">
                        <c:v>-5.36441834242396E-6</c:v>
                      </c:pt>
                      <c:pt idx="4" formatCode="0.00E+00">
                        <c:v>-5.36441834242396E-6</c:v>
                      </c:pt>
                      <c:pt idx="5">
                        <c:v>52.632663406888398</c:v>
                      </c:pt>
                      <c:pt idx="6" formatCode="0.00E+00">
                        <c:v>-5.36441834242396E-6</c:v>
                      </c:pt>
                      <c:pt idx="7">
                        <c:v>52.632674135725097</c:v>
                      </c:pt>
                      <c:pt idx="8">
                        <c:v>52.632620491541601</c:v>
                      </c:pt>
                      <c:pt idx="9">
                        <c:v>52.632609762704902</c:v>
                      </c:pt>
                      <c:pt idx="10">
                        <c:v>52.632620491541601</c:v>
                      </c:pt>
                      <c:pt idx="11" formatCode="0.00E+00">
                        <c:v>-5.36441834242396E-6</c:v>
                      </c:pt>
                      <c:pt idx="12">
                        <c:v>52.6325561185214</c:v>
                      </c:pt>
                      <c:pt idx="13">
                        <c:v>52.632523932011303</c:v>
                      </c:pt>
                      <c:pt idx="14" formatCode="0.00E+00">
                        <c:v>-5.36441834242396E-6</c:v>
                      </c:pt>
                      <c:pt idx="15" formatCode="0.00E+00">
                        <c:v>-5.36441834242396E-6</c:v>
                      </c:pt>
                      <c:pt idx="16">
                        <c:v>52.632674135725097</c:v>
                      </c:pt>
                      <c:pt idx="17">
                        <c:v>52.632652678051699</c:v>
                      </c:pt>
                      <c:pt idx="18">
                        <c:v>52.632588305031497</c:v>
                      </c:pt>
                      <c:pt idx="19">
                        <c:v>52.632652678051699</c:v>
                      </c:pt>
                      <c:pt idx="20" formatCode="0.00E+00">
                        <c:v>-5.36441834242396E-6</c:v>
                      </c:pt>
                      <c:pt idx="21">
                        <c:v>52.632620491541601</c:v>
                      </c:pt>
                      <c:pt idx="22" formatCode="0.00E+00">
                        <c:v>-5.36441834242396E-6</c:v>
                      </c:pt>
                      <c:pt idx="23">
                        <c:v>52.632674135725097</c:v>
                      </c:pt>
                      <c:pt idx="24">
                        <c:v>52.632652678051699</c:v>
                      </c:pt>
                      <c:pt idx="25" formatCode="0.00E+00">
                        <c:v>-5.36441834242396E-6</c:v>
                      </c:pt>
                      <c:pt idx="26" formatCode="0.00E+00">
                        <c:v>-5.36441834242396E-6</c:v>
                      </c:pt>
                      <c:pt idx="27">
                        <c:v>52.6326312203783</c:v>
                      </c:pt>
                      <c:pt idx="28">
                        <c:v>52.632620491541601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43053.860196759262</c:v>
                      </c:pt>
                      <c:pt idx="1">
                        <c:v>43053.860729166663</c:v>
                      </c:pt>
                      <c:pt idx="2">
                        <c:v>43053.862268518518</c:v>
                      </c:pt>
                      <c:pt idx="3">
                        <c:v>43053.865173611113</c:v>
                      </c:pt>
                      <c:pt idx="4">
                        <c:v>43053.867442129631</c:v>
                      </c:pt>
                      <c:pt idx="5">
                        <c:v>43053.868969907409</c:v>
                      </c:pt>
                      <c:pt idx="6">
                        <c:v>43053.869340277779</c:v>
                      </c:pt>
                      <c:pt idx="7">
                        <c:v>43053.872129629628</c:v>
                      </c:pt>
                      <c:pt idx="8">
                        <c:v>43053.873148148145</c:v>
                      </c:pt>
                      <c:pt idx="9">
                        <c:v>43053.874872685185</c:v>
                      </c:pt>
                      <c:pt idx="10">
                        <c:v>43053.874918981484</c:v>
                      </c:pt>
                      <c:pt idx="11">
                        <c:v>43053.876076388886</c:v>
                      </c:pt>
                      <c:pt idx="12">
                        <c:v>43053.877708333333</c:v>
                      </c:pt>
                      <c:pt idx="13">
                        <c:v>43053.877824074072</c:v>
                      </c:pt>
                      <c:pt idx="14">
                        <c:v>43053.878958333335</c:v>
                      </c:pt>
                      <c:pt idx="15">
                        <c:v>43053.881840277776</c:v>
                      </c:pt>
                      <c:pt idx="16">
                        <c:v>43053.882002314815</c:v>
                      </c:pt>
                      <c:pt idx="17">
                        <c:v>43053.883287037039</c:v>
                      </c:pt>
                      <c:pt idx="18">
                        <c:v>43053.886076388888</c:v>
                      </c:pt>
                      <c:pt idx="19">
                        <c:v>43053.888865740744</c:v>
                      </c:pt>
                      <c:pt idx="20">
                        <c:v>43053.890474537038</c:v>
                      </c:pt>
                      <c:pt idx="21">
                        <c:v>43053.891655092593</c:v>
                      </c:pt>
                      <c:pt idx="22">
                        <c:v>43053.89335648148</c:v>
                      </c:pt>
                      <c:pt idx="23">
                        <c:v>43053.895532407405</c:v>
                      </c:pt>
                      <c:pt idx="24">
                        <c:v>43053.897233796299</c:v>
                      </c:pt>
                      <c:pt idx="25">
                        <c:v>43053.89912037037</c:v>
                      </c:pt>
                      <c:pt idx="26">
                        <c:v>43053.901990740742</c:v>
                      </c:pt>
                      <c:pt idx="27">
                        <c:v>43053.902662037035</c:v>
                      </c:pt>
                      <c:pt idx="28">
                        <c:v>43053.902812499997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-180</c:v>
                      </c:pt>
                      <c:pt idx="1">
                        <c:v>-180</c:v>
                      </c:pt>
                      <c:pt idx="2">
                        <c:v>-180</c:v>
                      </c:pt>
                      <c:pt idx="3" formatCode="0.00E+00">
                        <c:v>-1.07288366848479E-5</c:v>
                      </c:pt>
                      <c:pt idx="4" formatCode="0.00E+00">
                        <c:v>-1.07288366848479E-5</c:v>
                      </c:pt>
                      <c:pt idx="5">
                        <c:v>4.7384229146493899</c:v>
                      </c:pt>
                      <c:pt idx="6" formatCode="0.00E+00">
                        <c:v>-1.07288366848479E-5</c:v>
                      </c:pt>
                      <c:pt idx="7">
                        <c:v>4.7384229146493899</c:v>
                      </c:pt>
                      <c:pt idx="8">
                        <c:v>4.7381439648952401</c:v>
                      </c:pt>
                      <c:pt idx="9">
                        <c:v>4.7383799993025901</c:v>
                      </c:pt>
                      <c:pt idx="10">
                        <c:v>4.7385302030164098</c:v>
                      </c:pt>
                      <c:pt idx="11" formatCode="0.00E+00">
                        <c:v>-1.07288366848479E-5</c:v>
                      </c:pt>
                      <c:pt idx="12">
                        <c:v>4.7383799993025901</c:v>
                      </c:pt>
                      <c:pt idx="13">
                        <c:v>4.7383585416292204</c:v>
                      </c:pt>
                      <c:pt idx="14" formatCode="0.00E+00">
                        <c:v>-1.07288366848479E-5</c:v>
                      </c:pt>
                      <c:pt idx="15" formatCode="0.00E+00">
                        <c:v>-1.07288366848479E-5</c:v>
                      </c:pt>
                      <c:pt idx="16">
                        <c:v>4.7381439648952401</c:v>
                      </c:pt>
                      <c:pt idx="17">
                        <c:v>4.7384229146493899</c:v>
                      </c:pt>
                      <c:pt idx="18">
                        <c:v>4.7384229146493899</c:v>
                      </c:pt>
                      <c:pt idx="19">
                        <c:v>4.7383370839557903</c:v>
                      </c:pt>
                      <c:pt idx="20" formatCode="0.00E+00">
                        <c:v>-1.07288366848479E-5</c:v>
                      </c:pt>
                      <c:pt idx="21">
                        <c:v>4.7384014569760202</c:v>
                      </c:pt>
                      <c:pt idx="22" formatCode="0.00E+00">
                        <c:v>-1.07288366848479E-5</c:v>
                      </c:pt>
                      <c:pt idx="23">
                        <c:v>4.7384229146493899</c:v>
                      </c:pt>
                      <c:pt idx="24">
                        <c:v>4.7384014569760202</c:v>
                      </c:pt>
                      <c:pt idx="25" formatCode="0.00E+00">
                        <c:v>-1.07288366848479E-5</c:v>
                      </c:pt>
                      <c:pt idx="26" formatCode="0.00E+00">
                        <c:v>-1.07288366848479E-5</c:v>
                      </c:pt>
                      <c:pt idx="27">
                        <c:v>4.7383585416292204</c:v>
                      </c:pt>
                      <c:pt idx="28">
                        <c:v>4.7383370839557903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Vbatt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43053.860196759262</c:v>
                      </c:pt>
                      <c:pt idx="1">
                        <c:v>43053.860729166663</c:v>
                      </c:pt>
                      <c:pt idx="2">
                        <c:v>43053.862268518518</c:v>
                      </c:pt>
                      <c:pt idx="3">
                        <c:v>43053.865173611113</c:v>
                      </c:pt>
                      <c:pt idx="4">
                        <c:v>43053.867442129631</c:v>
                      </c:pt>
                      <c:pt idx="5">
                        <c:v>43053.868969907409</c:v>
                      </c:pt>
                      <c:pt idx="6">
                        <c:v>43053.869340277779</c:v>
                      </c:pt>
                      <c:pt idx="7">
                        <c:v>43053.872129629628</c:v>
                      </c:pt>
                      <c:pt idx="8">
                        <c:v>43053.873148148145</c:v>
                      </c:pt>
                      <c:pt idx="9">
                        <c:v>43053.874872685185</c:v>
                      </c:pt>
                      <c:pt idx="10">
                        <c:v>43053.874918981484</c:v>
                      </c:pt>
                      <c:pt idx="11">
                        <c:v>43053.876076388886</c:v>
                      </c:pt>
                      <c:pt idx="12">
                        <c:v>43053.877708333333</c:v>
                      </c:pt>
                      <c:pt idx="13">
                        <c:v>43053.877824074072</c:v>
                      </c:pt>
                      <c:pt idx="14">
                        <c:v>43053.878958333335</c:v>
                      </c:pt>
                      <c:pt idx="15">
                        <c:v>43053.881840277776</c:v>
                      </c:pt>
                      <c:pt idx="16">
                        <c:v>43053.882002314815</c:v>
                      </c:pt>
                      <c:pt idx="17">
                        <c:v>43053.883287037039</c:v>
                      </c:pt>
                      <c:pt idx="18">
                        <c:v>43053.886076388888</c:v>
                      </c:pt>
                      <c:pt idx="19">
                        <c:v>43053.888865740744</c:v>
                      </c:pt>
                      <c:pt idx="20">
                        <c:v>43053.890474537038</c:v>
                      </c:pt>
                      <c:pt idx="21">
                        <c:v>43053.891655092593</c:v>
                      </c:pt>
                      <c:pt idx="22">
                        <c:v>43053.89335648148</c:v>
                      </c:pt>
                      <c:pt idx="23">
                        <c:v>43053.895532407405</c:v>
                      </c:pt>
                      <c:pt idx="24">
                        <c:v>43053.897233796299</c:v>
                      </c:pt>
                      <c:pt idx="25">
                        <c:v>43053.89912037037</c:v>
                      </c:pt>
                      <c:pt idx="26">
                        <c:v>43053.901990740742</c:v>
                      </c:pt>
                      <c:pt idx="27">
                        <c:v>43053.902662037035</c:v>
                      </c:pt>
                      <c:pt idx="28">
                        <c:v>43053.902812499997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678</c:v>
                      </c:pt>
                      <c:pt idx="4">
                        <c:v>678</c:v>
                      </c:pt>
                      <c:pt idx="5">
                        <c:v>0</c:v>
                      </c:pt>
                      <c:pt idx="6">
                        <c:v>678</c:v>
                      </c:pt>
                      <c:pt idx="7">
                        <c:v>0</c:v>
                      </c:pt>
                      <c:pt idx="8">
                        <c:v>10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678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678</c:v>
                      </c:pt>
                      <c:pt idx="15">
                        <c:v>678</c:v>
                      </c:pt>
                      <c:pt idx="16">
                        <c:v>28</c:v>
                      </c:pt>
                      <c:pt idx="17">
                        <c:v>0</c:v>
                      </c:pt>
                      <c:pt idx="18">
                        <c:v>13</c:v>
                      </c:pt>
                      <c:pt idx="19">
                        <c:v>0</c:v>
                      </c:pt>
                      <c:pt idx="20">
                        <c:v>678</c:v>
                      </c:pt>
                      <c:pt idx="21">
                        <c:v>0</c:v>
                      </c:pt>
                      <c:pt idx="22">
                        <c:v>678</c:v>
                      </c:pt>
                      <c:pt idx="23">
                        <c:v>0</c:v>
                      </c:pt>
                      <c:pt idx="24">
                        <c:v>2</c:v>
                      </c:pt>
                      <c:pt idx="25">
                        <c:v>678</c:v>
                      </c:pt>
                      <c:pt idx="26">
                        <c:v>678</c:v>
                      </c:pt>
                      <c:pt idx="27">
                        <c:v>0</c:v>
                      </c:pt>
                      <c:pt idx="28">
                        <c:v>7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43053.860196759262</c:v>
                </c:pt>
                <c:pt idx="1">
                  <c:v>43053.860729166663</c:v>
                </c:pt>
                <c:pt idx="2">
                  <c:v>43053.862268518518</c:v>
                </c:pt>
                <c:pt idx="3">
                  <c:v>43053.865173611113</c:v>
                </c:pt>
                <c:pt idx="4">
                  <c:v>43053.867442129631</c:v>
                </c:pt>
                <c:pt idx="5">
                  <c:v>43053.868969907409</c:v>
                </c:pt>
                <c:pt idx="6">
                  <c:v>43053.869340277779</c:v>
                </c:pt>
                <c:pt idx="7">
                  <c:v>43053.872129629628</c:v>
                </c:pt>
                <c:pt idx="8">
                  <c:v>43053.873148148145</c:v>
                </c:pt>
                <c:pt idx="9">
                  <c:v>43053.874872685185</c:v>
                </c:pt>
                <c:pt idx="10">
                  <c:v>43053.874918981484</c:v>
                </c:pt>
                <c:pt idx="11">
                  <c:v>43053.876076388886</c:v>
                </c:pt>
                <c:pt idx="12">
                  <c:v>43053.877708333333</c:v>
                </c:pt>
                <c:pt idx="13">
                  <c:v>43053.877824074072</c:v>
                </c:pt>
                <c:pt idx="14">
                  <c:v>43053.878958333335</c:v>
                </c:pt>
                <c:pt idx="15">
                  <c:v>43053.881840277776</c:v>
                </c:pt>
                <c:pt idx="16">
                  <c:v>43053.882002314815</c:v>
                </c:pt>
                <c:pt idx="17">
                  <c:v>43053.883287037039</c:v>
                </c:pt>
                <c:pt idx="18">
                  <c:v>43053.886076388888</c:v>
                </c:pt>
                <c:pt idx="19">
                  <c:v>43053.888865740744</c:v>
                </c:pt>
                <c:pt idx="20">
                  <c:v>43053.890474537038</c:v>
                </c:pt>
                <c:pt idx="21">
                  <c:v>43053.891655092593</c:v>
                </c:pt>
                <c:pt idx="22">
                  <c:v>43053.89335648148</c:v>
                </c:pt>
                <c:pt idx="23">
                  <c:v>43053.895532407405</c:v>
                </c:pt>
                <c:pt idx="24">
                  <c:v>43053.897233796299</c:v>
                </c:pt>
                <c:pt idx="25">
                  <c:v>43053.89912037037</c:v>
                </c:pt>
                <c:pt idx="26">
                  <c:v>43053.901990740742</c:v>
                </c:pt>
                <c:pt idx="27">
                  <c:v>43053.902662037035</c:v>
                </c:pt>
                <c:pt idx="28">
                  <c:v>43053.902812499997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0.00E+00</c:formatCode>
                <c:ptCount val="9998"/>
                <c:pt idx="0">
                  <c:v>-1.07288366848479E-5</c:v>
                </c:pt>
                <c:pt idx="1">
                  <c:v>-1.07288366848479E-5</c:v>
                </c:pt>
                <c:pt idx="2">
                  <c:v>-1.07288366848479E-5</c:v>
                </c:pt>
                <c:pt idx="3">
                  <c:v>-1.07288366848479E-5</c:v>
                </c:pt>
                <c:pt idx="4">
                  <c:v>-1.07288366848479E-5</c:v>
                </c:pt>
                <c:pt idx="5" formatCode="General">
                  <c:v>4.7384014569760202</c:v>
                </c:pt>
                <c:pt idx="6" formatCode="General">
                  <c:v>4.7384229146493899</c:v>
                </c:pt>
                <c:pt idx="7" formatCode="General">
                  <c:v>4.7385302030164098</c:v>
                </c:pt>
                <c:pt idx="8" formatCode="General">
                  <c:v>4.7381010495484404</c:v>
                </c:pt>
                <c:pt idx="9" formatCode="General">
                  <c:v>4.7383585416292204</c:v>
                </c:pt>
                <c:pt idx="10" formatCode="General">
                  <c:v>4.7383799993025901</c:v>
                </c:pt>
                <c:pt idx="11">
                  <c:v>-1.07288366848479E-5</c:v>
                </c:pt>
                <c:pt idx="12" formatCode="General">
                  <c:v>4.7384014569760202</c:v>
                </c:pt>
                <c:pt idx="13" formatCode="General">
                  <c:v>4.7383799993025901</c:v>
                </c:pt>
                <c:pt idx="14">
                  <c:v>-1.07288366848479E-5</c:v>
                </c:pt>
                <c:pt idx="15">
                  <c:v>-1.07288366848479E-5</c:v>
                </c:pt>
                <c:pt idx="16" formatCode="General">
                  <c:v>4.7382083379154096</c:v>
                </c:pt>
                <c:pt idx="17" formatCode="General">
                  <c:v>4.7384229146493899</c:v>
                </c:pt>
                <c:pt idx="18" formatCode="General">
                  <c:v>4.7383370839557903</c:v>
                </c:pt>
                <c:pt idx="19" formatCode="General">
                  <c:v>4.7384014569760202</c:v>
                </c:pt>
                <c:pt idx="20">
                  <c:v>-1.07288366848479E-5</c:v>
                </c:pt>
                <c:pt idx="21" formatCode="General">
                  <c:v>4.7384658299961799</c:v>
                </c:pt>
                <c:pt idx="22">
                  <c:v>-1.07288366848479E-5</c:v>
                </c:pt>
                <c:pt idx="23" formatCode="General">
                  <c:v>4.7384014569760202</c:v>
                </c:pt>
                <c:pt idx="24" formatCode="General">
                  <c:v>4.7384229146493899</c:v>
                </c:pt>
                <c:pt idx="25">
                  <c:v>-1.07288366848479E-5</c:v>
                </c:pt>
                <c:pt idx="26">
                  <c:v>-1.07288366848479E-5</c:v>
                </c:pt>
                <c:pt idx="27" formatCode="General">
                  <c:v>4.7383799993025901</c:v>
                </c:pt>
                <c:pt idx="28" formatCode="General">
                  <c:v>4.7384014569760202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43053.860196759262</c:v>
                </c:pt>
                <c:pt idx="1">
                  <c:v>43053.860729166663</c:v>
                </c:pt>
                <c:pt idx="2">
                  <c:v>43053.862268518518</c:v>
                </c:pt>
                <c:pt idx="3">
                  <c:v>43053.865173611113</c:v>
                </c:pt>
                <c:pt idx="4">
                  <c:v>43053.867442129631</c:v>
                </c:pt>
                <c:pt idx="5">
                  <c:v>43053.868969907409</c:v>
                </c:pt>
                <c:pt idx="6">
                  <c:v>43053.869340277779</c:v>
                </c:pt>
                <c:pt idx="7">
                  <c:v>43053.872129629628</c:v>
                </c:pt>
                <c:pt idx="8">
                  <c:v>43053.873148148145</c:v>
                </c:pt>
                <c:pt idx="9">
                  <c:v>43053.874872685185</c:v>
                </c:pt>
                <c:pt idx="10">
                  <c:v>43053.874918981484</c:v>
                </c:pt>
                <c:pt idx="11">
                  <c:v>43053.876076388886</c:v>
                </c:pt>
                <c:pt idx="12">
                  <c:v>43053.877708333333</c:v>
                </c:pt>
                <c:pt idx="13">
                  <c:v>43053.877824074072</c:v>
                </c:pt>
                <c:pt idx="14">
                  <c:v>43053.878958333335</c:v>
                </c:pt>
                <c:pt idx="15">
                  <c:v>43053.881840277776</c:v>
                </c:pt>
                <c:pt idx="16">
                  <c:v>43053.882002314815</c:v>
                </c:pt>
                <c:pt idx="17">
                  <c:v>43053.883287037039</c:v>
                </c:pt>
                <c:pt idx="18">
                  <c:v>43053.886076388888</c:v>
                </c:pt>
                <c:pt idx="19">
                  <c:v>43053.888865740744</c:v>
                </c:pt>
                <c:pt idx="20">
                  <c:v>43053.890474537038</c:v>
                </c:pt>
                <c:pt idx="21">
                  <c:v>43053.891655092593</c:v>
                </c:pt>
                <c:pt idx="22">
                  <c:v>43053.89335648148</c:v>
                </c:pt>
                <c:pt idx="23">
                  <c:v>43053.895532407405</c:v>
                </c:pt>
                <c:pt idx="24">
                  <c:v>43053.897233796299</c:v>
                </c:pt>
                <c:pt idx="25">
                  <c:v>43053.89912037037</c:v>
                </c:pt>
                <c:pt idx="26">
                  <c:v>43053.901990740742</c:v>
                </c:pt>
                <c:pt idx="27">
                  <c:v>43053.902662037035</c:v>
                </c:pt>
                <c:pt idx="28">
                  <c:v>43053.902812499997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678</c:v>
                </c:pt>
                <c:pt idx="1">
                  <c:v>678</c:v>
                </c:pt>
                <c:pt idx="2">
                  <c:v>678</c:v>
                </c:pt>
                <c:pt idx="3">
                  <c:v>678</c:v>
                </c:pt>
                <c:pt idx="4">
                  <c:v>678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0</c:v>
                </c:pt>
                <c:pt idx="10">
                  <c:v>0</c:v>
                </c:pt>
                <c:pt idx="11">
                  <c:v>678</c:v>
                </c:pt>
                <c:pt idx="12">
                  <c:v>14</c:v>
                </c:pt>
                <c:pt idx="13">
                  <c:v>9</c:v>
                </c:pt>
                <c:pt idx="14">
                  <c:v>678</c:v>
                </c:pt>
                <c:pt idx="15">
                  <c:v>678</c:v>
                </c:pt>
                <c:pt idx="16">
                  <c:v>27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678</c:v>
                </c:pt>
                <c:pt idx="21">
                  <c:v>0</c:v>
                </c:pt>
                <c:pt idx="22">
                  <c:v>678</c:v>
                </c:pt>
                <c:pt idx="23">
                  <c:v>0</c:v>
                </c:pt>
                <c:pt idx="24">
                  <c:v>0</c:v>
                </c:pt>
                <c:pt idx="25">
                  <c:v>678</c:v>
                </c:pt>
                <c:pt idx="26">
                  <c:v>678</c:v>
                </c:pt>
                <c:pt idx="27">
                  <c:v>0</c:v>
                </c:pt>
                <c:pt idx="28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3689296"/>
        <c:axId val="141370289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prevLon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43053.860196759262</c:v>
                      </c:pt>
                      <c:pt idx="1">
                        <c:v>43053.860729166663</c:v>
                      </c:pt>
                      <c:pt idx="2">
                        <c:v>43053.862268518518</c:v>
                      </c:pt>
                      <c:pt idx="3">
                        <c:v>43053.865173611113</c:v>
                      </c:pt>
                      <c:pt idx="4">
                        <c:v>43053.867442129631</c:v>
                      </c:pt>
                      <c:pt idx="5">
                        <c:v>43053.868969907409</c:v>
                      </c:pt>
                      <c:pt idx="6">
                        <c:v>43053.869340277779</c:v>
                      </c:pt>
                      <c:pt idx="7">
                        <c:v>43053.872129629628</c:v>
                      </c:pt>
                      <c:pt idx="8">
                        <c:v>43053.873148148145</c:v>
                      </c:pt>
                      <c:pt idx="9">
                        <c:v>43053.874872685185</c:v>
                      </c:pt>
                      <c:pt idx="10">
                        <c:v>43053.874918981484</c:v>
                      </c:pt>
                      <c:pt idx="11">
                        <c:v>43053.876076388886</c:v>
                      </c:pt>
                      <c:pt idx="12">
                        <c:v>43053.877708333333</c:v>
                      </c:pt>
                      <c:pt idx="13">
                        <c:v>43053.877824074072</c:v>
                      </c:pt>
                      <c:pt idx="14">
                        <c:v>43053.878958333335</c:v>
                      </c:pt>
                      <c:pt idx="15">
                        <c:v>43053.881840277776</c:v>
                      </c:pt>
                      <c:pt idx="16">
                        <c:v>43053.882002314815</c:v>
                      </c:pt>
                      <c:pt idx="17">
                        <c:v>43053.883287037039</c:v>
                      </c:pt>
                      <c:pt idx="18">
                        <c:v>43053.886076388888</c:v>
                      </c:pt>
                      <c:pt idx="19">
                        <c:v>43053.888865740744</c:v>
                      </c:pt>
                      <c:pt idx="20">
                        <c:v>43053.890474537038</c:v>
                      </c:pt>
                      <c:pt idx="21">
                        <c:v>43053.891655092593</c:v>
                      </c:pt>
                      <c:pt idx="22">
                        <c:v>43053.89335648148</c:v>
                      </c:pt>
                      <c:pt idx="23">
                        <c:v>43053.895532407405</c:v>
                      </c:pt>
                      <c:pt idx="24">
                        <c:v>43053.897233796299</c:v>
                      </c:pt>
                      <c:pt idx="25">
                        <c:v>43053.89912037037</c:v>
                      </c:pt>
                      <c:pt idx="26">
                        <c:v>43053.901990740742</c:v>
                      </c:pt>
                      <c:pt idx="27">
                        <c:v>43053.902662037035</c:v>
                      </c:pt>
                      <c:pt idx="28">
                        <c:v>43053.902812499997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20.2</c:v>
                      </c:pt>
                      <c:pt idx="1">
                        <c:v>20.2</c:v>
                      </c:pt>
                      <c:pt idx="2">
                        <c:v>20.2</c:v>
                      </c:pt>
                      <c:pt idx="3">
                        <c:v>20.2</c:v>
                      </c:pt>
                      <c:pt idx="4">
                        <c:v>20.2</c:v>
                      </c:pt>
                      <c:pt idx="5">
                        <c:v>0.7</c:v>
                      </c:pt>
                      <c:pt idx="6">
                        <c:v>1</c:v>
                      </c:pt>
                      <c:pt idx="7">
                        <c:v>1.1000000000000001</c:v>
                      </c:pt>
                      <c:pt idx="8">
                        <c:v>0.7</c:v>
                      </c:pt>
                      <c:pt idx="9">
                        <c:v>0.6</c:v>
                      </c:pt>
                      <c:pt idx="10">
                        <c:v>0.9</c:v>
                      </c:pt>
                      <c:pt idx="11">
                        <c:v>20.2</c:v>
                      </c:pt>
                      <c:pt idx="12">
                        <c:v>0.8</c:v>
                      </c:pt>
                      <c:pt idx="13">
                        <c:v>0.7</c:v>
                      </c:pt>
                      <c:pt idx="14">
                        <c:v>20.2</c:v>
                      </c:pt>
                      <c:pt idx="15">
                        <c:v>20.2</c:v>
                      </c:pt>
                      <c:pt idx="16">
                        <c:v>0.7</c:v>
                      </c:pt>
                      <c:pt idx="17">
                        <c:v>0.8</c:v>
                      </c:pt>
                      <c:pt idx="18">
                        <c:v>0.8</c:v>
                      </c:pt>
                      <c:pt idx="19">
                        <c:v>0.9</c:v>
                      </c:pt>
                      <c:pt idx="20">
                        <c:v>20.2</c:v>
                      </c:pt>
                      <c:pt idx="21">
                        <c:v>0.9</c:v>
                      </c:pt>
                      <c:pt idx="22">
                        <c:v>20.2</c:v>
                      </c:pt>
                      <c:pt idx="23">
                        <c:v>0.7</c:v>
                      </c:pt>
                      <c:pt idx="24">
                        <c:v>0.8</c:v>
                      </c:pt>
                      <c:pt idx="25">
                        <c:v>20.2</c:v>
                      </c:pt>
                      <c:pt idx="26">
                        <c:v>20.2</c:v>
                      </c:pt>
                      <c:pt idx="27">
                        <c:v>0.8</c:v>
                      </c:pt>
                      <c:pt idx="28">
                        <c:v>0.7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41370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413698544"/>
        <c:crossesAt val="-5"/>
        <c:crossBetween val="midCat"/>
        <c:majorUnit val="0.25"/>
        <c:minorUnit val="4.1666667000000018E-2"/>
      </c:valAx>
      <c:valAx>
        <c:axId val="1413698544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413700720"/>
        <c:crosses val="autoZero"/>
        <c:crossBetween val="midCat"/>
      </c:valAx>
      <c:valAx>
        <c:axId val="14137028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413689296"/>
        <c:crosses val="max"/>
        <c:crossBetween val="midCat"/>
      </c:valAx>
      <c:valAx>
        <c:axId val="14136892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413702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6" workbookViewId="0">
      <selection activeCell="C8" sqref="C8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64</v>
      </c>
    </row>
    <row r="7" spans="1:4" x14ac:dyDescent="0.3">
      <c r="B7" s="2"/>
      <c r="C7" s="3"/>
    </row>
    <row r="8" spans="1:4" x14ac:dyDescent="0.3">
      <c r="B8" s="2" t="s">
        <v>8</v>
      </c>
      <c r="C8" s="3" t="s">
        <v>289</v>
      </c>
    </row>
    <row r="9" spans="1:4" x14ac:dyDescent="0.3">
      <c r="B9" s="1" t="s">
        <v>5</v>
      </c>
      <c r="C9" s="5" t="str">
        <f>"https://junioriot2017test.data.thethingsnetwork.org/api/v2/query?last="&amp; C8</f>
        <v>https://junioriot2017test.data.thethingsnetwork.org/api/v2/query?last=65m</v>
      </c>
    </row>
    <row r="10" spans="1:4" x14ac:dyDescent="0.3">
      <c r="A10" s="1" t="s">
        <v>4</v>
      </c>
    </row>
    <row r="13" spans="1:4" x14ac:dyDescent="0.3">
      <c r="C13" s="17">
        <f>MIN(data!B:B)</f>
        <v>43053.860196759262</v>
      </c>
      <c r="D13" s="15" t="s">
        <v>21</v>
      </c>
    </row>
    <row r="14" spans="1:4" x14ac:dyDescent="0.3">
      <c r="C14" s="17">
        <f>MAX(data!B:B)</f>
        <v>43053.902812499997</v>
      </c>
      <c r="D14" s="15" t="s">
        <v>20</v>
      </c>
    </row>
    <row r="17" spans="2:3" ht="199.95" customHeight="1" x14ac:dyDescent="0.3">
      <c r="B17" s="2" t="s">
        <v>6</v>
      </c>
      <c r="C17" s="4" t="s">
        <v>290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AB30"/>
  <sheetViews>
    <sheetView tabSelected="1" workbookViewId="0">
      <pane ySplit="1" topLeftCell="A16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88671875" customWidth="1"/>
    <col min="3" max="3" width="20.88671875" customWidth="1"/>
    <col min="4" max="4" width="6" customWidth="1"/>
    <col min="5" max="5" width="12.21875" bestFit="1" customWidth="1"/>
    <col min="6" max="6" width="13.33203125" bestFit="1" customWidth="1"/>
    <col min="7" max="7" width="12" bestFit="1" customWidth="1"/>
    <col min="8" max="9" width="7.77734375" bestFit="1" customWidth="1"/>
    <col min="10" max="11" width="12" bestFit="1" customWidth="1"/>
    <col min="12" max="12" width="7" customWidth="1"/>
  </cols>
  <sheetData>
    <row r="1" spans="1:28" s="6" customFormat="1" ht="13.95" customHeight="1" x14ac:dyDescent="0.3">
      <c r="A1" s="16" t="s">
        <v>87</v>
      </c>
      <c r="B1" s="6" t="s">
        <v>9</v>
      </c>
      <c r="C1" s="6" t="s">
        <v>10</v>
      </c>
      <c r="D1" s="6" t="s">
        <v>230</v>
      </c>
      <c r="E1" s="6" t="s">
        <v>11</v>
      </c>
      <c r="F1" s="7" t="s">
        <v>12</v>
      </c>
      <c r="G1" s="7" t="s">
        <v>13</v>
      </c>
      <c r="H1" s="8" t="s">
        <v>14</v>
      </c>
      <c r="I1" s="9" t="s">
        <v>110</v>
      </c>
      <c r="J1" s="6" t="s">
        <v>108</v>
      </c>
      <c r="K1" s="6" t="s">
        <v>109</v>
      </c>
      <c r="L1" s="9" t="s">
        <v>220</v>
      </c>
      <c r="M1" s="6" t="s">
        <v>221</v>
      </c>
      <c r="N1" s="9" t="s">
        <v>16</v>
      </c>
      <c r="O1" s="6" t="s">
        <v>111</v>
      </c>
      <c r="P1" s="10" t="s">
        <v>17</v>
      </c>
      <c r="Q1" s="11" t="s">
        <v>112</v>
      </c>
      <c r="R1" s="6" t="s">
        <v>113</v>
      </c>
      <c r="S1" s="6" t="s">
        <v>247</v>
      </c>
      <c r="T1" s="6" t="s">
        <v>114</v>
      </c>
      <c r="U1" s="6" t="s">
        <v>222</v>
      </c>
      <c r="V1" s="6" t="s">
        <v>223</v>
      </c>
      <c r="W1" s="6" t="s">
        <v>224</v>
      </c>
      <c r="X1" s="6" t="s">
        <v>225</v>
      </c>
      <c r="Y1" s="6" t="s">
        <v>226</v>
      </c>
      <c r="Z1" s="6" t="s">
        <v>227</v>
      </c>
      <c r="AA1" s="6" t="s">
        <v>228</v>
      </c>
      <c r="AB1" s="6" t="s">
        <v>229</v>
      </c>
    </row>
    <row r="2" spans="1:28" ht="13.95" customHeight="1" x14ac:dyDescent="0.3">
      <c r="A2" t="s">
        <v>291</v>
      </c>
      <c r="B2" s="13">
        <v>43053.860196759262</v>
      </c>
      <c r="C2" t="s">
        <v>66</v>
      </c>
      <c r="D2">
        <v>0</v>
      </c>
      <c r="E2" t="s">
        <v>231</v>
      </c>
      <c r="F2" s="37">
        <v>-5.36441834242396E-6</v>
      </c>
      <c r="G2" s="37">
        <v>-1.07288366848479E-5</v>
      </c>
      <c r="H2">
        <v>678</v>
      </c>
      <c r="I2">
        <v>20.2</v>
      </c>
      <c r="J2">
        <v>-90</v>
      </c>
      <c r="K2">
        <v>-180</v>
      </c>
      <c r="L2">
        <v>0</v>
      </c>
      <c r="M2">
        <v>0</v>
      </c>
      <c r="N2">
        <v>1.1000000000000001</v>
      </c>
      <c r="O2">
        <v>3.96</v>
      </c>
      <c r="P2">
        <v>59</v>
      </c>
      <c r="Q2">
        <v>225</v>
      </c>
      <c r="R2">
        <v>0</v>
      </c>
      <c r="S2">
        <v>4</v>
      </c>
      <c r="T2">
        <v>1</v>
      </c>
      <c r="U2">
        <v>0</v>
      </c>
      <c r="V2">
        <v>0</v>
      </c>
      <c r="W2">
        <v>-90</v>
      </c>
      <c r="X2">
        <v>-180</v>
      </c>
      <c r="Y2">
        <v>0</v>
      </c>
      <c r="Z2">
        <v>0</v>
      </c>
      <c r="AA2">
        <v>0</v>
      </c>
      <c r="AB2">
        <v>0</v>
      </c>
    </row>
    <row r="3" spans="1:28" ht="13.95" customHeight="1" x14ac:dyDescent="0.3">
      <c r="A3" t="s">
        <v>232</v>
      </c>
      <c r="B3" s="13">
        <v>43053.860729166663</v>
      </c>
      <c r="C3" t="s">
        <v>66</v>
      </c>
      <c r="D3">
        <v>0</v>
      </c>
      <c r="E3" t="s">
        <v>233</v>
      </c>
      <c r="F3" s="37">
        <v>-5.36441834242396E-6</v>
      </c>
      <c r="G3" s="37">
        <v>-1.07288366848479E-5</v>
      </c>
      <c r="H3">
        <v>678</v>
      </c>
      <c r="I3">
        <v>20.2</v>
      </c>
      <c r="J3">
        <v>-90</v>
      </c>
      <c r="K3">
        <v>-180</v>
      </c>
      <c r="L3">
        <v>0</v>
      </c>
      <c r="M3">
        <v>0</v>
      </c>
      <c r="N3">
        <v>1.1000000000000001</v>
      </c>
      <c r="O3">
        <v>4.46</v>
      </c>
      <c r="P3">
        <v>60</v>
      </c>
      <c r="Q3">
        <v>225</v>
      </c>
      <c r="R3">
        <v>0</v>
      </c>
      <c r="S3">
        <v>4</v>
      </c>
      <c r="T3">
        <v>1</v>
      </c>
      <c r="U3">
        <v>0</v>
      </c>
      <c r="V3">
        <v>0</v>
      </c>
      <c r="W3">
        <v>-90</v>
      </c>
      <c r="X3">
        <v>-180</v>
      </c>
      <c r="Y3">
        <v>0</v>
      </c>
      <c r="Z3">
        <v>0</v>
      </c>
      <c r="AA3">
        <v>0</v>
      </c>
      <c r="AB3">
        <v>0</v>
      </c>
    </row>
    <row r="4" spans="1:28" ht="13.95" customHeight="1" x14ac:dyDescent="0.3">
      <c r="A4" t="s">
        <v>234</v>
      </c>
      <c r="B4" s="13">
        <v>43053.862268518518</v>
      </c>
      <c r="C4" t="s">
        <v>106</v>
      </c>
      <c r="D4">
        <v>0</v>
      </c>
      <c r="E4" t="s">
        <v>235</v>
      </c>
      <c r="F4" s="37">
        <v>-5.36441834242396E-6</v>
      </c>
      <c r="G4" s="37">
        <v>-1.07288366848479E-5</v>
      </c>
      <c r="H4">
        <v>678</v>
      </c>
      <c r="I4">
        <v>20.2</v>
      </c>
      <c r="J4">
        <v>-90</v>
      </c>
      <c r="K4">
        <v>-180</v>
      </c>
      <c r="L4">
        <v>0</v>
      </c>
      <c r="M4">
        <v>0</v>
      </c>
      <c r="N4">
        <v>0</v>
      </c>
      <c r="O4">
        <v>4.22</v>
      </c>
      <c r="P4">
        <v>60</v>
      </c>
      <c r="Q4">
        <v>225</v>
      </c>
      <c r="R4">
        <v>0</v>
      </c>
      <c r="S4">
        <v>1</v>
      </c>
      <c r="T4">
        <v>1</v>
      </c>
      <c r="U4">
        <v>0</v>
      </c>
      <c r="V4">
        <v>0</v>
      </c>
      <c r="W4">
        <v>-90</v>
      </c>
      <c r="X4">
        <v>-180</v>
      </c>
      <c r="Y4">
        <v>0</v>
      </c>
      <c r="Z4">
        <v>0</v>
      </c>
      <c r="AA4">
        <v>0</v>
      </c>
      <c r="AB4">
        <v>0</v>
      </c>
    </row>
    <row r="5" spans="1:28" ht="13.95" customHeight="1" x14ac:dyDescent="0.3">
      <c r="A5" t="s">
        <v>236</v>
      </c>
      <c r="B5" s="13">
        <v>43053.865173611113</v>
      </c>
      <c r="C5" t="s">
        <v>106</v>
      </c>
      <c r="D5">
        <v>1</v>
      </c>
      <c r="E5" t="s">
        <v>237</v>
      </c>
      <c r="F5" s="37">
        <v>-5.36441834242396E-6</v>
      </c>
      <c r="G5" s="37">
        <v>-1.07288366848479E-5</v>
      </c>
      <c r="H5">
        <v>678</v>
      </c>
      <c r="I5">
        <v>20.2</v>
      </c>
      <c r="J5" s="37">
        <v>-5.36441834242396E-6</v>
      </c>
      <c r="K5" s="37">
        <v>-1.07288366848479E-5</v>
      </c>
      <c r="L5">
        <v>678</v>
      </c>
      <c r="M5">
        <v>20.2</v>
      </c>
      <c r="N5">
        <v>1.1000000000000001</v>
      </c>
      <c r="O5">
        <v>4.42</v>
      </c>
      <c r="P5">
        <v>-9</v>
      </c>
      <c r="Q5">
        <v>225</v>
      </c>
      <c r="R5">
        <v>0</v>
      </c>
      <c r="S5">
        <v>1</v>
      </c>
      <c r="T5">
        <v>1</v>
      </c>
      <c r="U5">
        <v>0</v>
      </c>
      <c r="V5">
        <v>0</v>
      </c>
      <c r="W5">
        <v>-90</v>
      </c>
      <c r="X5">
        <v>-180</v>
      </c>
      <c r="Y5">
        <v>0</v>
      </c>
      <c r="Z5">
        <v>0</v>
      </c>
      <c r="AA5">
        <v>0</v>
      </c>
      <c r="AB5">
        <v>0</v>
      </c>
    </row>
    <row r="6" spans="1:28" ht="13.95" customHeight="1" x14ac:dyDescent="0.3">
      <c r="A6" t="s">
        <v>238</v>
      </c>
      <c r="B6" s="13">
        <v>43053.867442129631</v>
      </c>
      <c r="C6" t="s">
        <v>65</v>
      </c>
      <c r="D6">
        <v>70</v>
      </c>
      <c r="E6" t="s">
        <v>239</v>
      </c>
      <c r="F6" s="37">
        <v>-5.36441834242396E-6</v>
      </c>
      <c r="G6" s="37">
        <v>-1.07288366848479E-5</v>
      </c>
      <c r="H6">
        <v>678</v>
      </c>
      <c r="I6">
        <v>20.2</v>
      </c>
      <c r="J6" s="37">
        <v>-5.36441834242396E-6</v>
      </c>
      <c r="K6" s="37">
        <v>-1.07288366848479E-5</v>
      </c>
      <c r="L6">
        <v>678</v>
      </c>
      <c r="M6">
        <v>20.2</v>
      </c>
      <c r="N6">
        <v>1.7</v>
      </c>
      <c r="O6">
        <v>4.3</v>
      </c>
      <c r="P6">
        <v>-6</v>
      </c>
      <c r="Q6">
        <v>225</v>
      </c>
      <c r="R6">
        <v>0</v>
      </c>
      <c r="S6">
        <v>5</v>
      </c>
      <c r="T6">
        <v>1</v>
      </c>
      <c r="U6">
        <v>0</v>
      </c>
      <c r="V6">
        <v>0</v>
      </c>
      <c r="W6">
        <v>-90</v>
      </c>
      <c r="X6">
        <v>-180</v>
      </c>
      <c r="Y6">
        <v>0</v>
      </c>
      <c r="Z6">
        <v>0</v>
      </c>
      <c r="AA6">
        <v>0</v>
      </c>
      <c r="AB6">
        <v>0</v>
      </c>
    </row>
    <row r="7" spans="1:28" ht="13.95" customHeight="1" x14ac:dyDescent="0.3">
      <c r="A7" t="s">
        <v>240</v>
      </c>
      <c r="B7" s="13">
        <v>43053.868969907409</v>
      </c>
      <c r="C7" t="s">
        <v>67</v>
      </c>
      <c r="D7">
        <v>50</v>
      </c>
      <c r="E7" t="s">
        <v>241</v>
      </c>
      <c r="F7">
        <v>52.632599033868203</v>
      </c>
      <c r="G7">
        <v>4.7384014569760202</v>
      </c>
      <c r="H7">
        <v>0</v>
      </c>
      <c r="I7">
        <v>0.7</v>
      </c>
      <c r="J7">
        <v>52.632663406888398</v>
      </c>
      <c r="K7">
        <v>4.7384229146493899</v>
      </c>
      <c r="L7">
        <v>0</v>
      </c>
      <c r="M7">
        <v>0.8</v>
      </c>
      <c r="N7">
        <v>1.1000000000000001</v>
      </c>
      <c r="O7">
        <v>4.1399999999999997</v>
      </c>
      <c r="P7">
        <v>60</v>
      </c>
      <c r="Q7">
        <v>288</v>
      </c>
      <c r="R7">
        <v>0</v>
      </c>
      <c r="S7">
        <v>2</v>
      </c>
      <c r="T7">
        <v>1</v>
      </c>
      <c r="U7">
        <v>0</v>
      </c>
      <c r="V7">
        <v>0</v>
      </c>
      <c r="W7">
        <v>-90</v>
      </c>
      <c r="X7">
        <v>-180</v>
      </c>
      <c r="Y7">
        <v>0</v>
      </c>
      <c r="Z7">
        <v>0</v>
      </c>
      <c r="AA7">
        <v>0</v>
      </c>
      <c r="AB7">
        <v>0</v>
      </c>
    </row>
    <row r="8" spans="1:28" ht="13.95" customHeight="1" x14ac:dyDescent="0.3">
      <c r="A8" t="s">
        <v>243</v>
      </c>
      <c r="B8" s="13">
        <v>43053.869340277779</v>
      </c>
      <c r="C8" t="s">
        <v>106</v>
      </c>
      <c r="D8">
        <v>1</v>
      </c>
      <c r="E8" t="s">
        <v>242</v>
      </c>
      <c r="F8">
        <v>52.632674135725097</v>
      </c>
      <c r="G8">
        <v>4.7384229146493899</v>
      </c>
      <c r="H8">
        <v>0</v>
      </c>
      <c r="I8">
        <v>1</v>
      </c>
      <c r="J8" s="37">
        <v>-5.36441834242396E-6</v>
      </c>
      <c r="K8" s="37">
        <v>-1.07288366848479E-5</v>
      </c>
      <c r="L8">
        <v>678</v>
      </c>
      <c r="M8">
        <v>20.2</v>
      </c>
      <c r="N8">
        <v>1.1000000000000001</v>
      </c>
      <c r="O8">
        <v>4.4800000000000004</v>
      </c>
      <c r="P8">
        <v>-9</v>
      </c>
      <c r="Q8">
        <v>225</v>
      </c>
      <c r="R8">
        <v>0</v>
      </c>
      <c r="S8">
        <v>1</v>
      </c>
      <c r="T8">
        <v>1</v>
      </c>
      <c r="U8">
        <v>0</v>
      </c>
      <c r="V8">
        <v>0</v>
      </c>
      <c r="W8">
        <v>-90</v>
      </c>
      <c r="X8">
        <v>-180</v>
      </c>
      <c r="Y8">
        <v>0</v>
      </c>
      <c r="Z8">
        <v>0</v>
      </c>
      <c r="AA8">
        <v>0</v>
      </c>
      <c r="AB8">
        <v>0</v>
      </c>
    </row>
    <row r="9" spans="1:28" ht="13.95" customHeight="1" x14ac:dyDescent="0.3">
      <c r="A9" t="s">
        <v>245</v>
      </c>
      <c r="B9" s="13">
        <v>43053.872129629628</v>
      </c>
      <c r="C9" t="s">
        <v>106</v>
      </c>
      <c r="D9">
        <v>2</v>
      </c>
      <c r="E9" t="s">
        <v>244</v>
      </c>
      <c r="F9">
        <v>52.632620491541601</v>
      </c>
      <c r="G9">
        <v>4.7385302030164098</v>
      </c>
      <c r="H9">
        <v>0</v>
      </c>
      <c r="I9">
        <v>1.1000000000000001</v>
      </c>
      <c r="J9">
        <v>52.632674135725097</v>
      </c>
      <c r="K9">
        <v>4.7384229146493899</v>
      </c>
      <c r="L9">
        <v>0</v>
      </c>
      <c r="M9">
        <v>1</v>
      </c>
      <c r="N9">
        <v>1.1000000000000001</v>
      </c>
      <c r="O9">
        <v>4.4800000000000004</v>
      </c>
      <c r="P9">
        <v>-9</v>
      </c>
      <c r="Q9">
        <v>225</v>
      </c>
      <c r="R9">
        <v>0</v>
      </c>
      <c r="S9">
        <v>1</v>
      </c>
      <c r="T9">
        <v>1</v>
      </c>
      <c r="U9">
        <v>0</v>
      </c>
      <c r="V9">
        <v>0</v>
      </c>
      <c r="W9">
        <v>-90</v>
      </c>
      <c r="X9">
        <v>-180</v>
      </c>
      <c r="Y9">
        <v>0</v>
      </c>
      <c r="Z9">
        <v>0</v>
      </c>
      <c r="AA9">
        <v>0</v>
      </c>
      <c r="AB9">
        <v>0</v>
      </c>
    </row>
    <row r="10" spans="1:28" ht="13.95" customHeight="1" x14ac:dyDescent="0.3">
      <c r="A10" t="s">
        <v>248</v>
      </c>
      <c r="B10" s="13">
        <v>43053.873148148145</v>
      </c>
      <c r="C10" t="s">
        <v>66</v>
      </c>
      <c r="D10">
        <v>42</v>
      </c>
      <c r="E10" t="s">
        <v>246</v>
      </c>
      <c r="F10">
        <v>52.632674135725097</v>
      </c>
      <c r="G10">
        <v>4.7381010495484404</v>
      </c>
      <c r="H10">
        <v>21</v>
      </c>
      <c r="I10">
        <v>0.7</v>
      </c>
      <c r="J10">
        <v>52.632620491541601</v>
      </c>
      <c r="K10">
        <v>4.7381439648952401</v>
      </c>
      <c r="L10">
        <v>10</v>
      </c>
      <c r="M10">
        <v>0.8</v>
      </c>
      <c r="N10">
        <v>0</v>
      </c>
      <c r="O10">
        <v>3.88</v>
      </c>
      <c r="P10">
        <v>-8</v>
      </c>
      <c r="Q10">
        <v>225</v>
      </c>
      <c r="R10">
        <v>0</v>
      </c>
      <c r="S10">
        <v>4</v>
      </c>
      <c r="T10">
        <v>1</v>
      </c>
      <c r="U10">
        <v>0</v>
      </c>
      <c r="V10">
        <v>0</v>
      </c>
      <c r="W10">
        <v>-90</v>
      </c>
      <c r="X10">
        <v>-180</v>
      </c>
      <c r="Y10">
        <v>0</v>
      </c>
      <c r="Z10">
        <v>0</v>
      </c>
      <c r="AA10">
        <v>0</v>
      </c>
      <c r="AB10">
        <v>0</v>
      </c>
    </row>
    <row r="11" spans="1:28" ht="13.95" customHeight="1" x14ac:dyDescent="0.3">
      <c r="A11" t="s">
        <v>249</v>
      </c>
      <c r="B11" s="13">
        <v>43053.874872685185</v>
      </c>
      <c r="C11" t="s">
        <v>67</v>
      </c>
      <c r="D11">
        <v>52</v>
      </c>
      <c r="E11" t="s">
        <v>250</v>
      </c>
      <c r="F11">
        <v>52.632523932011303</v>
      </c>
      <c r="G11">
        <v>4.7383585416292204</v>
      </c>
      <c r="H11">
        <v>0</v>
      </c>
      <c r="I11">
        <v>0.6</v>
      </c>
      <c r="J11">
        <v>52.632609762704902</v>
      </c>
      <c r="K11">
        <v>4.7383799993025901</v>
      </c>
      <c r="L11">
        <v>0</v>
      </c>
      <c r="M11">
        <v>0.7</v>
      </c>
      <c r="N11">
        <v>0</v>
      </c>
      <c r="O11">
        <v>4.1399999999999997</v>
      </c>
      <c r="P11">
        <v>57</v>
      </c>
      <c r="Q11">
        <v>354</v>
      </c>
      <c r="R11">
        <v>0</v>
      </c>
      <c r="S11">
        <v>2</v>
      </c>
      <c r="T11">
        <v>1</v>
      </c>
      <c r="U11">
        <v>0</v>
      </c>
      <c r="V11">
        <v>0</v>
      </c>
      <c r="W11">
        <v>-90</v>
      </c>
      <c r="X11">
        <v>-180</v>
      </c>
      <c r="Y11">
        <v>0</v>
      </c>
      <c r="Z11">
        <v>0</v>
      </c>
      <c r="AA11">
        <v>0</v>
      </c>
      <c r="AB11">
        <v>0</v>
      </c>
    </row>
    <row r="12" spans="1:28" ht="13.95" customHeight="1" x14ac:dyDescent="0.3">
      <c r="A12" t="s">
        <v>252</v>
      </c>
      <c r="B12" s="13">
        <v>43053.874918981484</v>
      </c>
      <c r="C12" t="s">
        <v>106</v>
      </c>
      <c r="D12">
        <v>3</v>
      </c>
      <c r="E12" t="s">
        <v>251</v>
      </c>
      <c r="F12">
        <v>52.6325561185214</v>
      </c>
      <c r="G12">
        <v>4.7383799993025901</v>
      </c>
      <c r="H12">
        <v>0</v>
      </c>
      <c r="I12">
        <v>0.9</v>
      </c>
      <c r="J12">
        <v>52.632620491541601</v>
      </c>
      <c r="K12">
        <v>4.7385302030164098</v>
      </c>
      <c r="L12">
        <v>0</v>
      </c>
      <c r="M12">
        <v>1.1000000000000001</v>
      </c>
      <c r="N12">
        <v>1.1000000000000001</v>
      </c>
      <c r="O12">
        <v>4.38</v>
      </c>
      <c r="P12">
        <v>-9</v>
      </c>
      <c r="Q12">
        <v>225</v>
      </c>
      <c r="R12">
        <v>0</v>
      </c>
      <c r="S12">
        <v>1</v>
      </c>
      <c r="T12">
        <v>1</v>
      </c>
      <c r="U12">
        <v>0</v>
      </c>
      <c r="V12">
        <v>0</v>
      </c>
      <c r="W12">
        <v>-90</v>
      </c>
      <c r="X12">
        <v>-180</v>
      </c>
      <c r="Y12">
        <v>0</v>
      </c>
      <c r="Z12">
        <v>0</v>
      </c>
      <c r="AA12">
        <v>0</v>
      </c>
      <c r="AB12">
        <v>0</v>
      </c>
    </row>
    <row r="13" spans="1:28" ht="13.95" customHeight="1" x14ac:dyDescent="0.3">
      <c r="A13" t="s">
        <v>254</v>
      </c>
      <c r="B13" s="13">
        <v>43053.876076388886</v>
      </c>
      <c r="C13" t="s">
        <v>65</v>
      </c>
      <c r="D13">
        <v>73</v>
      </c>
      <c r="E13" t="s">
        <v>253</v>
      </c>
      <c r="F13" s="37">
        <v>-5.36441834242396E-6</v>
      </c>
      <c r="G13" s="37">
        <v>-1.07288366848479E-5</v>
      </c>
      <c r="H13">
        <v>678</v>
      </c>
      <c r="I13">
        <v>20.2</v>
      </c>
      <c r="J13" s="37">
        <v>-5.36441834242396E-6</v>
      </c>
      <c r="K13" s="37">
        <v>-1.07288366848479E-5</v>
      </c>
      <c r="L13">
        <v>678</v>
      </c>
      <c r="M13">
        <v>20.2</v>
      </c>
      <c r="N13">
        <v>0</v>
      </c>
      <c r="O13">
        <v>4.3600000000000003</v>
      </c>
      <c r="P13">
        <v>-7</v>
      </c>
      <c r="Q13">
        <v>225</v>
      </c>
      <c r="R13">
        <v>0</v>
      </c>
      <c r="S13">
        <v>5</v>
      </c>
      <c r="T13">
        <v>1</v>
      </c>
      <c r="U13">
        <v>0</v>
      </c>
      <c r="V13">
        <v>0</v>
      </c>
      <c r="W13">
        <v>-90</v>
      </c>
      <c r="X13">
        <v>-180</v>
      </c>
      <c r="Y13">
        <v>0</v>
      </c>
      <c r="Z13">
        <v>0</v>
      </c>
      <c r="AA13">
        <v>0</v>
      </c>
      <c r="AB13">
        <v>0</v>
      </c>
    </row>
    <row r="14" spans="1:28" ht="13.95" customHeight="1" x14ac:dyDescent="0.3">
      <c r="A14" t="s">
        <v>256</v>
      </c>
      <c r="B14" s="13">
        <v>43053.877708333333</v>
      </c>
      <c r="C14" t="s">
        <v>106</v>
      </c>
      <c r="D14">
        <v>4</v>
      </c>
      <c r="E14" t="s">
        <v>255</v>
      </c>
      <c r="F14">
        <v>52.632523932011303</v>
      </c>
      <c r="G14">
        <v>4.7384014569760202</v>
      </c>
      <c r="H14">
        <v>14</v>
      </c>
      <c r="I14">
        <v>0.8</v>
      </c>
      <c r="J14">
        <v>52.6325561185214</v>
      </c>
      <c r="K14">
        <v>4.7383799993025901</v>
      </c>
      <c r="L14">
        <v>0</v>
      </c>
      <c r="M14">
        <v>0.9</v>
      </c>
      <c r="N14">
        <v>1.1000000000000001</v>
      </c>
      <c r="O14">
        <v>4.4000000000000004</v>
      </c>
      <c r="P14">
        <v>60</v>
      </c>
      <c r="Q14">
        <v>225</v>
      </c>
      <c r="R14">
        <v>0</v>
      </c>
      <c r="S14">
        <v>1</v>
      </c>
      <c r="T14">
        <v>1</v>
      </c>
      <c r="U14">
        <v>0</v>
      </c>
      <c r="V14">
        <v>0</v>
      </c>
      <c r="W14">
        <v>-90</v>
      </c>
      <c r="X14">
        <v>-180</v>
      </c>
      <c r="Y14">
        <v>0</v>
      </c>
      <c r="Z14">
        <v>0</v>
      </c>
      <c r="AA14">
        <v>0</v>
      </c>
      <c r="AB14">
        <v>0</v>
      </c>
    </row>
    <row r="15" spans="1:28" ht="13.95" customHeight="1" x14ac:dyDescent="0.3">
      <c r="A15" t="s">
        <v>258</v>
      </c>
      <c r="B15" s="13">
        <v>43053.877824074072</v>
      </c>
      <c r="C15" t="s">
        <v>67</v>
      </c>
      <c r="D15">
        <v>53</v>
      </c>
      <c r="E15" t="s">
        <v>257</v>
      </c>
      <c r="F15">
        <v>52.632545389684701</v>
      </c>
      <c r="G15">
        <v>4.7383799993025901</v>
      </c>
      <c r="H15">
        <v>9</v>
      </c>
      <c r="I15">
        <v>0.7</v>
      </c>
      <c r="J15">
        <v>52.632523932011303</v>
      </c>
      <c r="K15">
        <v>4.7383585416292204</v>
      </c>
      <c r="L15">
        <v>0</v>
      </c>
      <c r="M15">
        <v>0.6</v>
      </c>
      <c r="N15">
        <v>1.7</v>
      </c>
      <c r="O15">
        <v>4.1399999999999997</v>
      </c>
      <c r="P15">
        <v>55</v>
      </c>
      <c r="Q15">
        <v>357</v>
      </c>
      <c r="R15">
        <v>0</v>
      </c>
      <c r="S15">
        <v>2</v>
      </c>
      <c r="T15">
        <v>1</v>
      </c>
      <c r="U15">
        <v>0</v>
      </c>
      <c r="V15">
        <v>0</v>
      </c>
      <c r="W15">
        <v>-90</v>
      </c>
      <c r="X15">
        <v>-180</v>
      </c>
      <c r="Y15">
        <v>0</v>
      </c>
      <c r="Z15">
        <v>0</v>
      </c>
      <c r="AA15">
        <v>0</v>
      </c>
      <c r="AB15">
        <v>0</v>
      </c>
    </row>
    <row r="16" spans="1:28" ht="13.95" customHeight="1" x14ac:dyDescent="0.3">
      <c r="A16" t="s">
        <v>259</v>
      </c>
      <c r="B16" s="13">
        <v>43053.878958333335</v>
      </c>
      <c r="C16" t="s">
        <v>65</v>
      </c>
      <c r="D16">
        <v>74</v>
      </c>
      <c r="E16" t="s">
        <v>260</v>
      </c>
      <c r="F16" s="37">
        <v>-5.36441834242396E-6</v>
      </c>
      <c r="G16" s="37">
        <v>-1.07288366848479E-5</v>
      </c>
      <c r="H16">
        <v>678</v>
      </c>
      <c r="I16">
        <v>20.2</v>
      </c>
      <c r="J16" s="37">
        <v>-5.36441834242396E-6</v>
      </c>
      <c r="K16" s="37">
        <v>-1.07288366848479E-5</v>
      </c>
      <c r="L16">
        <v>678</v>
      </c>
      <c r="M16">
        <v>20.2</v>
      </c>
      <c r="N16">
        <v>1.1000000000000001</v>
      </c>
      <c r="O16">
        <v>4.32</v>
      </c>
      <c r="P16">
        <v>-8</v>
      </c>
      <c r="Q16">
        <v>225</v>
      </c>
      <c r="R16">
        <v>0</v>
      </c>
      <c r="S16">
        <v>5</v>
      </c>
      <c r="T16">
        <v>1</v>
      </c>
      <c r="U16">
        <v>0</v>
      </c>
      <c r="V16">
        <v>0</v>
      </c>
      <c r="W16">
        <v>-90</v>
      </c>
      <c r="X16">
        <v>-180</v>
      </c>
      <c r="Y16">
        <v>0</v>
      </c>
      <c r="Z16">
        <v>0</v>
      </c>
      <c r="AA16">
        <v>0</v>
      </c>
      <c r="AB16">
        <v>0</v>
      </c>
    </row>
    <row r="17" spans="1:28" ht="13.95" customHeight="1" x14ac:dyDescent="0.3">
      <c r="A17" t="s">
        <v>261</v>
      </c>
      <c r="B17" s="13">
        <v>43053.881840277776</v>
      </c>
      <c r="C17" t="s">
        <v>65</v>
      </c>
      <c r="D17">
        <v>75</v>
      </c>
      <c r="E17" t="s">
        <v>262</v>
      </c>
      <c r="F17" s="37">
        <v>-5.36441834242396E-6</v>
      </c>
      <c r="G17" s="37">
        <v>-1.07288366848479E-5</v>
      </c>
      <c r="H17">
        <v>678</v>
      </c>
      <c r="I17">
        <v>20.2</v>
      </c>
      <c r="J17" s="37">
        <v>-5.36441834242396E-6</v>
      </c>
      <c r="K17" s="37">
        <v>-1.07288366848479E-5</v>
      </c>
      <c r="L17">
        <v>678</v>
      </c>
      <c r="M17">
        <v>20.2</v>
      </c>
      <c r="N17">
        <v>1.1000000000000001</v>
      </c>
      <c r="O17">
        <v>4.3600000000000003</v>
      </c>
      <c r="P17">
        <v>-9</v>
      </c>
      <c r="Q17">
        <v>225</v>
      </c>
      <c r="R17">
        <v>0</v>
      </c>
      <c r="S17">
        <v>5</v>
      </c>
      <c r="T17">
        <v>1</v>
      </c>
      <c r="U17">
        <v>0</v>
      </c>
      <c r="V17">
        <v>0</v>
      </c>
      <c r="W17">
        <v>-90</v>
      </c>
      <c r="X17">
        <v>-180</v>
      </c>
      <c r="Y17">
        <v>0</v>
      </c>
      <c r="Z17">
        <v>0</v>
      </c>
      <c r="AA17">
        <v>0</v>
      </c>
      <c r="AB17">
        <v>0</v>
      </c>
    </row>
    <row r="18" spans="1:28" ht="13.95" customHeight="1" x14ac:dyDescent="0.3">
      <c r="A18" t="s">
        <v>264</v>
      </c>
      <c r="B18" s="13">
        <v>43053.882002314815</v>
      </c>
      <c r="C18" t="s">
        <v>66</v>
      </c>
      <c r="D18">
        <v>45</v>
      </c>
      <c r="E18" t="s">
        <v>263</v>
      </c>
      <c r="F18">
        <v>52.632674135725097</v>
      </c>
      <c r="G18">
        <v>4.7382083379154096</v>
      </c>
      <c r="H18">
        <v>27</v>
      </c>
      <c r="I18">
        <v>0.7</v>
      </c>
      <c r="J18">
        <v>52.632674135725097</v>
      </c>
      <c r="K18">
        <v>4.7381439648952401</v>
      </c>
      <c r="L18">
        <v>28</v>
      </c>
      <c r="M18">
        <v>0.7</v>
      </c>
      <c r="N18">
        <v>0</v>
      </c>
      <c r="O18">
        <v>3.84</v>
      </c>
      <c r="P18">
        <v>-8</v>
      </c>
      <c r="Q18">
        <v>225</v>
      </c>
      <c r="R18">
        <v>0</v>
      </c>
      <c r="S18">
        <v>4</v>
      </c>
      <c r="T18">
        <v>1</v>
      </c>
      <c r="U18">
        <v>0</v>
      </c>
      <c r="V18">
        <v>0</v>
      </c>
      <c r="W18">
        <v>-90</v>
      </c>
      <c r="X18">
        <v>-180</v>
      </c>
      <c r="Y18">
        <v>0</v>
      </c>
      <c r="Z18">
        <v>0</v>
      </c>
      <c r="AA18">
        <v>0</v>
      </c>
      <c r="AB18">
        <v>0</v>
      </c>
    </row>
    <row r="19" spans="1:28" ht="13.95" customHeight="1" x14ac:dyDescent="0.3">
      <c r="A19" t="s">
        <v>265</v>
      </c>
      <c r="B19" s="13">
        <v>43053.883287037039</v>
      </c>
      <c r="C19" t="s">
        <v>106</v>
      </c>
      <c r="D19">
        <v>6</v>
      </c>
      <c r="E19" t="s">
        <v>266</v>
      </c>
      <c r="F19">
        <v>52.632588305031497</v>
      </c>
      <c r="G19">
        <v>4.7384229146493899</v>
      </c>
      <c r="H19">
        <v>13</v>
      </c>
      <c r="I19">
        <v>0.8</v>
      </c>
      <c r="J19">
        <v>52.632652678051699</v>
      </c>
      <c r="K19">
        <v>4.7384229146493899</v>
      </c>
      <c r="L19">
        <v>0</v>
      </c>
      <c r="M19">
        <v>0.8</v>
      </c>
      <c r="N19">
        <v>1.1000000000000001</v>
      </c>
      <c r="O19">
        <v>4.4000000000000004</v>
      </c>
      <c r="P19">
        <v>60</v>
      </c>
      <c r="Q19">
        <v>225</v>
      </c>
      <c r="R19">
        <v>0</v>
      </c>
      <c r="S19">
        <v>1</v>
      </c>
      <c r="T19">
        <v>1</v>
      </c>
      <c r="U19">
        <v>0</v>
      </c>
      <c r="V19">
        <v>0</v>
      </c>
      <c r="W19">
        <v>-90</v>
      </c>
      <c r="X19">
        <v>-180</v>
      </c>
      <c r="Y19">
        <v>0</v>
      </c>
      <c r="Z19">
        <v>0</v>
      </c>
      <c r="AA19">
        <v>0</v>
      </c>
      <c r="AB19">
        <v>0</v>
      </c>
    </row>
    <row r="20" spans="1:28" ht="13.95" customHeight="1" x14ac:dyDescent="0.3">
      <c r="A20" t="s">
        <v>268</v>
      </c>
      <c r="B20" s="13">
        <v>43053.886076388888</v>
      </c>
      <c r="C20" t="s">
        <v>106</v>
      </c>
      <c r="D20">
        <v>7</v>
      </c>
      <c r="E20" t="s">
        <v>267</v>
      </c>
      <c r="F20">
        <v>52.632652678051699</v>
      </c>
      <c r="G20">
        <v>4.7383370839557903</v>
      </c>
      <c r="H20">
        <v>0</v>
      </c>
      <c r="I20">
        <v>0.8</v>
      </c>
      <c r="J20">
        <v>52.632588305031497</v>
      </c>
      <c r="K20">
        <v>4.7384229146493899</v>
      </c>
      <c r="L20">
        <v>13</v>
      </c>
      <c r="M20">
        <v>0.8</v>
      </c>
      <c r="N20">
        <v>1.1000000000000001</v>
      </c>
      <c r="O20">
        <v>4.4800000000000004</v>
      </c>
      <c r="P20">
        <v>-9</v>
      </c>
      <c r="Q20">
        <v>225</v>
      </c>
      <c r="R20">
        <v>0</v>
      </c>
      <c r="S20">
        <v>1</v>
      </c>
      <c r="T20">
        <v>1</v>
      </c>
      <c r="U20">
        <v>0</v>
      </c>
      <c r="V20">
        <v>0</v>
      </c>
      <c r="W20">
        <v>-90</v>
      </c>
      <c r="X20">
        <v>-180</v>
      </c>
      <c r="Y20">
        <v>0</v>
      </c>
      <c r="Z20">
        <v>0</v>
      </c>
      <c r="AA20">
        <v>0</v>
      </c>
      <c r="AB20">
        <v>0</v>
      </c>
    </row>
    <row r="21" spans="1:28" ht="13.95" customHeight="1" x14ac:dyDescent="0.3">
      <c r="A21" t="s">
        <v>270</v>
      </c>
      <c r="B21" s="13">
        <v>43053.888865740744</v>
      </c>
      <c r="C21" t="s">
        <v>106</v>
      </c>
      <c r="D21">
        <v>8</v>
      </c>
      <c r="E21" t="s">
        <v>269</v>
      </c>
      <c r="F21">
        <v>52.632620491541601</v>
      </c>
      <c r="G21">
        <v>4.7384014569760202</v>
      </c>
      <c r="H21">
        <v>0</v>
      </c>
      <c r="I21">
        <v>0.9</v>
      </c>
      <c r="J21">
        <v>52.632652678051699</v>
      </c>
      <c r="K21">
        <v>4.7383370839557903</v>
      </c>
      <c r="L21">
        <v>0</v>
      </c>
      <c r="M21">
        <v>0.8</v>
      </c>
      <c r="N21">
        <v>1.1000000000000001</v>
      </c>
      <c r="O21">
        <v>4.4000000000000004</v>
      </c>
      <c r="P21">
        <v>60</v>
      </c>
      <c r="Q21">
        <v>225</v>
      </c>
      <c r="R21">
        <v>0</v>
      </c>
      <c r="S21">
        <v>1</v>
      </c>
      <c r="T21">
        <v>1</v>
      </c>
      <c r="U21">
        <v>0</v>
      </c>
      <c r="V21">
        <v>0</v>
      </c>
      <c r="W21">
        <v>-90</v>
      </c>
      <c r="X21">
        <v>-180</v>
      </c>
      <c r="Y21">
        <v>0</v>
      </c>
      <c r="Z21">
        <v>0</v>
      </c>
      <c r="AA21">
        <v>0</v>
      </c>
      <c r="AB21">
        <v>0</v>
      </c>
    </row>
    <row r="22" spans="1:28" ht="13.95" customHeight="1" x14ac:dyDescent="0.3">
      <c r="A22" t="s">
        <v>272</v>
      </c>
      <c r="B22" s="13">
        <v>43053.890474537038</v>
      </c>
      <c r="C22" t="s">
        <v>65</v>
      </c>
      <c r="D22">
        <v>78</v>
      </c>
      <c r="E22" t="s">
        <v>271</v>
      </c>
      <c r="F22" s="37">
        <v>-5.36441834242396E-6</v>
      </c>
      <c r="G22" s="37">
        <v>-1.07288366848479E-5</v>
      </c>
      <c r="H22">
        <v>678</v>
      </c>
      <c r="I22">
        <v>20.2</v>
      </c>
      <c r="J22" s="37">
        <v>-5.36441834242396E-6</v>
      </c>
      <c r="K22" s="37">
        <v>-1.07288366848479E-5</v>
      </c>
      <c r="L22">
        <v>678</v>
      </c>
      <c r="M22">
        <v>20.2</v>
      </c>
      <c r="N22">
        <v>0</v>
      </c>
      <c r="O22">
        <v>4.3600000000000003</v>
      </c>
      <c r="P22">
        <v>-7</v>
      </c>
      <c r="Q22">
        <v>225</v>
      </c>
      <c r="R22">
        <v>0</v>
      </c>
      <c r="S22">
        <v>5</v>
      </c>
      <c r="T22">
        <v>1</v>
      </c>
      <c r="U22">
        <v>0</v>
      </c>
      <c r="V22">
        <v>0</v>
      </c>
      <c r="W22">
        <v>-90</v>
      </c>
      <c r="X22">
        <v>-180</v>
      </c>
      <c r="Y22">
        <v>0</v>
      </c>
      <c r="Z22">
        <v>0</v>
      </c>
      <c r="AA22">
        <v>0</v>
      </c>
      <c r="AB22">
        <v>0</v>
      </c>
    </row>
    <row r="23" spans="1:28" ht="13.95" customHeight="1" x14ac:dyDescent="0.3">
      <c r="A23" t="s">
        <v>273</v>
      </c>
      <c r="B23" s="13">
        <v>43053.891655092593</v>
      </c>
      <c r="C23" t="s">
        <v>106</v>
      </c>
      <c r="D23">
        <v>9</v>
      </c>
      <c r="E23" t="s">
        <v>274</v>
      </c>
      <c r="F23">
        <v>52.632674135725097</v>
      </c>
      <c r="G23">
        <v>4.7384658299961799</v>
      </c>
      <c r="H23">
        <v>0</v>
      </c>
      <c r="I23">
        <v>0.9</v>
      </c>
      <c r="J23">
        <v>52.632620491541601</v>
      </c>
      <c r="K23">
        <v>4.7384014569760202</v>
      </c>
      <c r="L23">
        <v>0</v>
      </c>
      <c r="M23">
        <v>0.9</v>
      </c>
      <c r="N23">
        <v>1.1000000000000001</v>
      </c>
      <c r="O23">
        <v>4.4800000000000004</v>
      </c>
      <c r="P23">
        <v>-9</v>
      </c>
      <c r="Q23">
        <v>225</v>
      </c>
      <c r="R23">
        <v>0</v>
      </c>
      <c r="S23">
        <v>1</v>
      </c>
      <c r="T23">
        <v>1</v>
      </c>
      <c r="U23">
        <v>0</v>
      </c>
      <c r="V23">
        <v>0</v>
      </c>
      <c r="W23">
        <v>-90</v>
      </c>
      <c r="X23">
        <v>-180</v>
      </c>
      <c r="Y23">
        <v>0</v>
      </c>
      <c r="Z23">
        <v>0</v>
      </c>
      <c r="AA23">
        <v>0</v>
      </c>
      <c r="AB23">
        <v>0</v>
      </c>
    </row>
    <row r="24" spans="1:28" ht="13.95" customHeight="1" x14ac:dyDescent="0.3">
      <c r="A24" t="s">
        <v>276</v>
      </c>
      <c r="B24" s="13">
        <v>43053.89335648148</v>
      </c>
      <c r="C24" t="s">
        <v>65</v>
      </c>
      <c r="D24">
        <v>79</v>
      </c>
      <c r="E24" t="s">
        <v>275</v>
      </c>
      <c r="F24" s="37">
        <v>-5.36441834242396E-6</v>
      </c>
      <c r="G24" s="37">
        <v>-1.07288366848479E-5</v>
      </c>
      <c r="H24">
        <v>678</v>
      </c>
      <c r="I24">
        <v>20.2</v>
      </c>
      <c r="J24" s="37">
        <v>-5.36441834242396E-6</v>
      </c>
      <c r="K24" s="37">
        <v>-1.07288366848479E-5</v>
      </c>
      <c r="L24">
        <v>678</v>
      </c>
      <c r="M24">
        <v>20.2</v>
      </c>
      <c r="N24">
        <v>0</v>
      </c>
      <c r="O24">
        <v>4.3600000000000003</v>
      </c>
      <c r="P24">
        <v>-7</v>
      </c>
      <c r="Q24">
        <v>225</v>
      </c>
      <c r="R24">
        <v>0</v>
      </c>
      <c r="S24">
        <v>5</v>
      </c>
      <c r="T24">
        <v>1</v>
      </c>
      <c r="U24">
        <v>0</v>
      </c>
      <c r="V24">
        <v>0</v>
      </c>
      <c r="W24">
        <v>-90</v>
      </c>
      <c r="X24">
        <v>-180</v>
      </c>
      <c r="Y24">
        <v>0</v>
      </c>
      <c r="Z24">
        <v>0</v>
      </c>
      <c r="AA24">
        <v>0</v>
      </c>
      <c r="AB24">
        <v>0</v>
      </c>
    </row>
    <row r="25" spans="1:28" ht="13.95" customHeight="1" x14ac:dyDescent="0.3">
      <c r="A25" t="s">
        <v>278</v>
      </c>
      <c r="B25" s="13">
        <v>43053.895532407405</v>
      </c>
      <c r="C25" t="s">
        <v>67</v>
      </c>
      <c r="D25">
        <v>59</v>
      </c>
      <c r="E25" t="s">
        <v>277</v>
      </c>
      <c r="F25">
        <v>52.632684864561803</v>
      </c>
      <c r="G25">
        <v>4.7384014569760202</v>
      </c>
      <c r="H25">
        <v>0</v>
      </c>
      <c r="I25">
        <v>0.7</v>
      </c>
      <c r="J25">
        <v>52.632674135725097</v>
      </c>
      <c r="K25">
        <v>4.7384229146493899</v>
      </c>
      <c r="L25">
        <v>0</v>
      </c>
      <c r="M25">
        <v>0.6</v>
      </c>
      <c r="N25">
        <v>0</v>
      </c>
      <c r="O25">
        <v>4.26</v>
      </c>
      <c r="P25">
        <v>-9</v>
      </c>
      <c r="Q25">
        <v>246</v>
      </c>
      <c r="R25">
        <v>0</v>
      </c>
      <c r="S25">
        <v>2</v>
      </c>
      <c r="T25">
        <v>1</v>
      </c>
      <c r="U25">
        <v>0</v>
      </c>
      <c r="V25">
        <v>0</v>
      </c>
      <c r="W25">
        <v>-90</v>
      </c>
      <c r="X25">
        <v>-180</v>
      </c>
      <c r="Y25">
        <v>0</v>
      </c>
      <c r="Z25">
        <v>0</v>
      </c>
      <c r="AA25">
        <v>0</v>
      </c>
      <c r="AB25">
        <v>0</v>
      </c>
    </row>
    <row r="26" spans="1:28" ht="13.95" customHeight="1" x14ac:dyDescent="0.3">
      <c r="A26" t="s">
        <v>279</v>
      </c>
      <c r="B26" s="13">
        <v>43053.897233796299</v>
      </c>
      <c r="C26" t="s">
        <v>106</v>
      </c>
      <c r="D26">
        <v>11</v>
      </c>
      <c r="E26" t="s">
        <v>280</v>
      </c>
      <c r="F26">
        <v>52.632674135725097</v>
      </c>
      <c r="G26">
        <v>4.7384229146493899</v>
      </c>
      <c r="H26">
        <v>0</v>
      </c>
      <c r="I26">
        <v>0.8</v>
      </c>
      <c r="J26">
        <v>52.632652678051699</v>
      </c>
      <c r="K26">
        <v>4.7384014569760202</v>
      </c>
      <c r="L26">
        <v>2</v>
      </c>
      <c r="M26">
        <v>0.8</v>
      </c>
      <c r="N26">
        <v>0</v>
      </c>
      <c r="O26">
        <v>4.38</v>
      </c>
      <c r="P26">
        <v>-9</v>
      </c>
      <c r="Q26">
        <v>225</v>
      </c>
      <c r="R26">
        <v>0</v>
      </c>
      <c r="S26">
        <v>1</v>
      </c>
      <c r="T26">
        <v>1</v>
      </c>
      <c r="U26">
        <v>0</v>
      </c>
      <c r="V26">
        <v>0</v>
      </c>
      <c r="W26">
        <v>-90</v>
      </c>
      <c r="X26">
        <v>-180</v>
      </c>
      <c r="Y26">
        <v>0</v>
      </c>
      <c r="Z26">
        <v>0</v>
      </c>
      <c r="AA26">
        <v>0</v>
      </c>
      <c r="AB26">
        <v>0</v>
      </c>
    </row>
    <row r="27" spans="1:28" ht="13.95" customHeight="1" x14ac:dyDescent="0.3">
      <c r="A27" t="s">
        <v>282</v>
      </c>
      <c r="B27" s="13">
        <v>43053.89912037037</v>
      </c>
      <c r="C27" t="s">
        <v>65</v>
      </c>
      <c r="D27">
        <v>81</v>
      </c>
      <c r="E27" t="s">
        <v>281</v>
      </c>
      <c r="F27" s="37">
        <v>-5.36441834242396E-6</v>
      </c>
      <c r="G27" s="37">
        <v>-1.07288366848479E-5</v>
      </c>
      <c r="H27">
        <v>678</v>
      </c>
      <c r="I27">
        <v>20.2</v>
      </c>
      <c r="J27" s="37">
        <v>-5.36441834242396E-6</v>
      </c>
      <c r="K27" s="37">
        <v>-1.07288366848479E-5</v>
      </c>
      <c r="L27">
        <v>678</v>
      </c>
      <c r="M27">
        <v>20.2</v>
      </c>
      <c r="N27">
        <v>0</v>
      </c>
      <c r="O27">
        <v>4.32</v>
      </c>
      <c r="P27">
        <v>-8</v>
      </c>
      <c r="Q27">
        <v>225</v>
      </c>
      <c r="R27">
        <v>0</v>
      </c>
      <c r="S27">
        <v>5</v>
      </c>
      <c r="T27">
        <v>1</v>
      </c>
      <c r="U27">
        <v>0</v>
      </c>
      <c r="V27">
        <v>0</v>
      </c>
      <c r="W27">
        <v>-90</v>
      </c>
      <c r="X27">
        <v>-180</v>
      </c>
      <c r="Y27">
        <v>0</v>
      </c>
      <c r="Z27">
        <v>0</v>
      </c>
      <c r="AA27">
        <v>0</v>
      </c>
      <c r="AB27">
        <v>0</v>
      </c>
    </row>
    <row r="28" spans="1:28" ht="13.95" customHeight="1" x14ac:dyDescent="0.3">
      <c r="A28" t="s">
        <v>283</v>
      </c>
      <c r="B28" s="13">
        <v>43053.901990740742</v>
      </c>
      <c r="C28" t="s">
        <v>65</v>
      </c>
      <c r="D28">
        <v>82</v>
      </c>
      <c r="E28" t="s">
        <v>284</v>
      </c>
      <c r="F28" s="37">
        <v>-5.36441834242396E-6</v>
      </c>
      <c r="G28" s="37">
        <v>-1.07288366848479E-5</v>
      </c>
      <c r="H28">
        <v>678</v>
      </c>
      <c r="I28">
        <v>20.2</v>
      </c>
      <c r="J28" s="37">
        <v>-5.36441834242396E-6</v>
      </c>
      <c r="K28" s="37">
        <v>-1.07288366848479E-5</v>
      </c>
      <c r="L28">
        <v>678</v>
      </c>
      <c r="M28">
        <v>20.2</v>
      </c>
      <c r="N28">
        <v>0</v>
      </c>
      <c r="O28">
        <v>4.3600000000000003</v>
      </c>
      <c r="P28">
        <v>-7</v>
      </c>
      <c r="Q28">
        <v>225</v>
      </c>
      <c r="R28">
        <v>0</v>
      </c>
      <c r="S28">
        <v>5</v>
      </c>
      <c r="T28">
        <v>1</v>
      </c>
      <c r="U28">
        <v>0</v>
      </c>
      <c r="V28">
        <v>0</v>
      </c>
      <c r="W28">
        <v>-90</v>
      </c>
      <c r="X28">
        <v>-180</v>
      </c>
      <c r="Y28">
        <v>0</v>
      </c>
      <c r="Z28">
        <v>0</v>
      </c>
      <c r="AA28">
        <v>0</v>
      </c>
      <c r="AB28">
        <v>0</v>
      </c>
    </row>
    <row r="29" spans="1:28" ht="13.95" customHeight="1" x14ac:dyDescent="0.3">
      <c r="A29" t="s">
        <v>285</v>
      </c>
      <c r="B29" s="13">
        <v>43053.902662037035</v>
      </c>
      <c r="C29" t="s">
        <v>66</v>
      </c>
      <c r="D29">
        <v>52</v>
      </c>
      <c r="E29" t="s">
        <v>286</v>
      </c>
      <c r="F29">
        <v>52.632652678051699</v>
      </c>
      <c r="G29">
        <v>4.7383799993025901</v>
      </c>
      <c r="H29">
        <v>0</v>
      </c>
      <c r="I29">
        <v>0.8</v>
      </c>
      <c r="J29">
        <v>52.6326312203783</v>
      </c>
      <c r="K29">
        <v>4.7383585416292204</v>
      </c>
      <c r="L29">
        <v>0</v>
      </c>
      <c r="M29">
        <v>0.8</v>
      </c>
      <c r="N29">
        <v>0</v>
      </c>
      <c r="O29">
        <v>4.3</v>
      </c>
      <c r="P29">
        <v>-8</v>
      </c>
      <c r="Q29">
        <v>225</v>
      </c>
      <c r="R29">
        <v>0</v>
      </c>
      <c r="S29">
        <v>4</v>
      </c>
      <c r="T29">
        <v>1</v>
      </c>
      <c r="U29">
        <v>0</v>
      </c>
      <c r="V29">
        <v>0</v>
      </c>
      <c r="W29">
        <v>-90</v>
      </c>
      <c r="X29">
        <v>-180</v>
      </c>
      <c r="Y29">
        <v>0</v>
      </c>
      <c r="Z29">
        <v>0</v>
      </c>
      <c r="AA29">
        <v>0</v>
      </c>
      <c r="AB29">
        <v>0</v>
      </c>
    </row>
    <row r="30" spans="1:28" ht="13.95" customHeight="1" x14ac:dyDescent="0.3">
      <c r="A30" s="14" t="s">
        <v>287</v>
      </c>
      <c r="B30" s="13">
        <v>43053.902812499997</v>
      </c>
      <c r="C30" t="s">
        <v>106</v>
      </c>
      <c r="D30">
        <v>13</v>
      </c>
      <c r="E30" t="s">
        <v>288</v>
      </c>
      <c r="F30">
        <v>52.632609762704902</v>
      </c>
      <c r="G30">
        <v>4.7384014569760202</v>
      </c>
      <c r="H30">
        <v>0</v>
      </c>
      <c r="I30">
        <v>0.7</v>
      </c>
      <c r="J30">
        <v>52.632620491541601</v>
      </c>
      <c r="K30">
        <v>4.7383370839557903</v>
      </c>
      <c r="L30">
        <v>7</v>
      </c>
      <c r="M30">
        <v>0.8</v>
      </c>
      <c r="N30">
        <v>1.1000000000000001</v>
      </c>
      <c r="O30">
        <v>4.4800000000000004</v>
      </c>
      <c r="P30">
        <v>-9</v>
      </c>
      <c r="Q30">
        <v>225</v>
      </c>
      <c r="R30">
        <v>0</v>
      </c>
      <c r="S30">
        <v>1</v>
      </c>
      <c r="T30">
        <v>1</v>
      </c>
      <c r="U30">
        <v>0</v>
      </c>
      <c r="V30">
        <v>0</v>
      </c>
      <c r="W30">
        <v>-90</v>
      </c>
      <c r="X30">
        <v>-180</v>
      </c>
      <c r="Y30">
        <v>0</v>
      </c>
      <c r="Z30">
        <v>0</v>
      </c>
      <c r="AA30">
        <v>0</v>
      </c>
      <c r="AB30">
        <v>0</v>
      </c>
    </row>
  </sheetData>
  <autoFilter ref="A1:L439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L25" sqref="L25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18</v>
      </c>
      <c r="R2" s="18" t="s">
        <v>9</v>
      </c>
      <c r="S2" s="30"/>
      <c r="T2" s="30"/>
      <c r="U2" s="19" t="s">
        <v>12</v>
      </c>
      <c r="V2" s="19" t="s">
        <v>13</v>
      </c>
      <c r="W2" s="20" t="s">
        <v>14</v>
      </c>
      <c r="X2" s="21" t="s">
        <v>15</v>
      </c>
      <c r="Y2" s="9" t="s">
        <v>16</v>
      </c>
      <c r="Z2" s="24" t="s">
        <v>17</v>
      </c>
      <c r="AA2" s="24"/>
      <c r="AB2" s="11" t="s">
        <v>23</v>
      </c>
      <c r="AC2" s="11"/>
      <c r="AD2" s="25" t="s">
        <v>22</v>
      </c>
      <c r="AE2" t="s">
        <v>34</v>
      </c>
      <c r="AF2" t="s">
        <v>24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25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25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25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25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25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25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25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25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29</v>
      </c>
      <c r="AF11" t="s">
        <v>25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33</v>
      </c>
      <c r="AF12" t="s">
        <v>25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30</v>
      </c>
      <c r="AF13" t="s">
        <v>25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25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26</v>
      </c>
      <c r="AF15" t="s">
        <v>25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25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31</v>
      </c>
      <c r="AF17" t="s">
        <v>25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25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32</v>
      </c>
      <c r="AF19" t="s">
        <v>25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25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27</v>
      </c>
      <c r="AF21" t="s">
        <v>35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27</v>
      </c>
      <c r="AF22" t="s">
        <v>35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39</v>
      </c>
      <c r="AF23" t="s">
        <v>36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39</v>
      </c>
      <c r="AF24" t="s">
        <v>36</v>
      </c>
    </row>
    <row r="25" spans="7:51" x14ac:dyDescent="0.3">
      <c r="G25" t="s">
        <v>19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28</v>
      </c>
      <c r="AF25" t="s">
        <v>37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28</v>
      </c>
      <c r="AF26" t="s">
        <v>37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63</v>
      </c>
      <c r="AF27" t="s">
        <v>46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62</v>
      </c>
      <c r="AF28" t="s">
        <v>46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56</v>
      </c>
      <c r="AF29" t="s">
        <v>45</v>
      </c>
      <c r="AY29" t="s">
        <v>38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61</v>
      </c>
      <c r="AF30" t="s">
        <v>45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40</v>
      </c>
      <c r="AD31" s="27" t="str">
        <f t="shared" si="0"/>
        <v/>
      </c>
      <c r="AE31" t="s">
        <v>57</v>
      </c>
      <c r="AF31" t="s">
        <v>47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41</v>
      </c>
      <c r="AD32" s="27">
        <f t="shared" si="0"/>
        <v>0.62557870370073942</v>
      </c>
      <c r="AE32" t="s">
        <v>54</v>
      </c>
      <c r="AF32" t="s">
        <v>47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40</v>
      </c>
      <c r="AD33" s="27" t="str">
        <f t="shared" si="0"/>
        <v/>
      </c>
      <c r="AE33" t="s">
        <v>56</v>
      </c>
      <c r="AF33" t="s">
        <v>47</v>
      </c>
    </row>
    <row r="34" spans="18:32" x14ac:dyDescent="0.3">
      <c r="R34" s="13">
        <v>42799.11377314815</v>
      </c>
      <c r="S34" t="s">
        <v>7</v>
      </c>
      <c r="T34" t="s">
        <v>42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41</v>
      </c>
      <c r="AD34" s="27">
        <f t="shared" si="0"/>
        <v>0.67269675926218042</v>
      </c>
      <c r="AE34" t="s">
        <v>55</v>
      </c>
      <c r="AF34" t="s">
        <v>47</v>
      </c>
    </row>
    <row r="35" spans="18:32" x14ac:dyDescent="0.3">
      <c r="R35" s="13">
        <v>42799.443969907406</v>
      </c>
      <c r="S35" t="s">
        <v>7</v>
      </c>
      <c r="T35" t="s">
        <v>43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40</v>
      </c>
      <c r="AD35" s="27" t="str">
        <f t="shared" si="0"/>
        <v/>
      </c>
      <c r="AE35" t="s">
        <v>58</v>
      </c>
      <c r="AF35" t="s">
        <v>47</v>
      </c>
    </row>
    <row r="36" spans="18:32" x14ac:dyDescent="0.3">
      <c r="R36" s="13">
        <v>42799.908009259256</v>
      </c>
      <c r="S36" t="s">
        <v>7</v>
      </c>
      <c r="T36" t="s">
        <v>44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41</v>
      </c>
      <c r="AD36" s="27">
        <f t="shared" si="0"/>
        <v>0.46403935184935108</v>
      </c>
      <c r="AE36" t="s">
        <v>54</v>
      </c>
      <c r="AF36" t="s">
        <v>47</v>
      </c>
    </row>
    <row r="37" spans="18:32" x14ac:dyDescent="0.3">
      <c r="R37" s="13">
        <v>42800.403368055559</v>
      </c>
      <c r="S37" t="s">
        <v>7</v>
      </c>
      <c r="T37" t="s">
        <v>48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40</v>
      </c>
      <c r="AD37" s="27" t="str">
        <f t="shared" si="0"/>
        <v/>
      </c>
      <c r="AE37" t="s">
        <v>59</v>
      </c>
    </row>
    <row r="38" spans="18:32" x14ac:dyDescent="0.3">
      <c r="R38" s="13">
        <v>42801.002650462964</v>
      </c>
      <c r="S38" t="s">
        <v>7</v>
      </c>
      <c r="T38" t="s">
        <v>49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41</v>
      </c>
      <c r="AD38" s="27">
        <f t="shared" si="0"/>
        <v>0.59928240740555339</v>
      </c>
      <c r="AE38" t="s">
        <v>53</v>
      </c>
    </row>
    <row r="39" spans="18:32" x14ac:dyDescent="0.3">
      <c r="R39" s="13">
        <v>42802.422662037039</v>
      </c>
      <c r="S39" t="s">
        <v>7</v>
      </c>
      <c r="T39" t="s">
        <v>50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40</v>
      </c>
      <c r="AD39" s="27" t="str">
        <f t="shared" si="0"/>
        <v/>
      </c>
      <c r="AE39" t="s">
        <v>60</v>
      </c>
    </row>
    <row r="40" spans="18:32" x14ac:dyDescent="0.3">
      <c r="R40" s="13">
        <v>42803.075104166666</v>
      </c>
      <c r="S40" t="s">
        <v>7</v>
      </c>
      <c r="T40" t="s">
        <v>51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41</v>
      </c>
      <c r="AD40" s="27">
        <f t="shared" si="0"/>
        <v>0.65244212962716119</v>
      </c>
      <c r="AE40" t="s">
        <v>52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28"/>
  <sheetViews>
    <sheetView workbookViewId="0">
      <selection activeCell="G26" sqref="G26"/>
    </sheetView>
  </sheetViews>
  <sheetFormatPr defaultRowHeight="14.4" x14ac:dyDescent="0.3"/>
  <cols>
    <col min="1" max="1" width="55.77734375" customWidth="1"/>
    <col min="2" max="2" width="2.21875" customWidth="1"/>
    <col min="3" max="3" width="11" bestFit="1" customWidth="1"/>
    <col min="5" max="5" width="18.44140625" customWidth="1"/>
    <col min="6" max="6" width="14.21875" customWidth="1"/>
    <col min="7" max="7" width="11" bestFit="1" customWidth="1"/>
  </cols>
  <sheetData>
    <row r="1" spans="1:7" x14ac:dyDescent="0.3">
      <c r="E1" t="s">
        <v>84</v>
      </c>
    </row>
    <row r="2" spans="1:7" x14ac:dyDescent="0.3">
      <c r="F2" t="s">
        <v>82</v>
      </c>
      <c r="G2">
        <v>52632400</v>
      </c>
    </row>
    <row r="3" spans="1:7" x14ac:dyDescent="0.3">
      <c r="F3" t="s">
        <v>83</v>
      </c>
      <c r="G3">
        <v>4738800</v>
      </c>
    </row>
    <row r="4" spans="1:7" x14ac:dyDescent="0.3">
      <c r="F4" t="s">
        <v>85</v>
      </c>
      <c r="G4">
        <v>678</v>
      </c>
    </row>
    <row r="5" spans="1:7" x14ac:dyDescent="0.3">
      <c r="B5" s="32" t="s">
        <v>87</v>
      </c>
      <c r="C5" t="s">
        <v>103</v>
      </c>
      <c r="F5" t="s">
        <v>86</v>
      </c>
      <c r="G5">
        <v>2345</v>
      </c>
    </row>
    <row r="6" spans="1:7" x14ac:dyDescent="0.3">
      <c r="B6" s="32" t="s">
        <v>87</v>
      </c>
    </row>
    <row r="7" spans="1:7" x14ac:dyDescent="0.3">
      <c r="A7" t="s">
        <v>68</v>
      </c>
      <c r="B7" s="32" t="s">
        <v>87</v>
      </c>
      <c r="C7">
        <v>900000000</v>
      </c>
      <c r="D7" t="s">
        <v>88</v>
      </c>
      <c r="G7" s="33">
        <v>900000000</v>
      </c>
    </row>
    <row r="8" spans="1:7" x14ac:dyDescent="0.3">
      <c r="A8" t="s">
        <v>69</v>
      </c>
      <c r="B8" s="32" t="s">
        <v>87</v>
      </c>
      <c r="C8">
        <v>1800000000</v>
      </c>
      <c r="D8" t="s">
        <v>89</v>
      </c>
      <c r="G8" s="33">
        <v>1800000000</v>
      </c>
    </row>
    <row r="9" spans="1:7" x14ac:dyDescent="0.3">
      <c r="A9" t="s">
        <v>70</v>
      </c>
      <c r="B9" s="32" t="s">
        <v>87</v>
      </c>
      <c r="C9">
        <v>16777215</v>
      </c>
      <c r="D9" t="s">
        <v>90</v>
      </c>
      <c r="G9" s="33">
        <v>16777215</v>
      </c>
    </row>
    <row r="10" spans="1:7" x14ac:dyDescent="0.3">
      <c r="A10" t="s">
        <v>71</v>
      </c>
      <c r="B10" s="32" t="s">
        <v>87</v>
      </c>
      <c r="C10">
        <v>52632400</v>
      </c>
      <c r="D10" t="s">
        <v>91</v>
      </c>
      <c r="G10">
        <f>G2</f>
        <v>52632400</v>
      </c>
    </row>
    <row r="11" spans="1:7" x14ac:dyDescent="0.3">
      <c r="A11" t="s">
        <v>72</v>
      </c>
      <c r="B11" s="32" t="s">
        <v>87</v>
      </c>
      <c r="C11" s="34">
        <v>8879177</v>
      </c>
      <c r="D11" t="s">
        <v>92</v>
      </c>
      <c r="G11">
        <f>(G10+G7)*G9/G8</f>
        <v>8879176.9948699996</v>
      </c>
    </row>
    <row r="12" spans="1:7" x14ac:dyDescent="0.3">
      <c r="A12" t="s">
        <v>73</v>
      </c>
      <c r="B12" s="32" t="s">
        <v>87</v>
      </c>
      <c r="C12">
        <v>8879177</v>
      </c>
      <c r="D12" t="s">
        <v>93</v>
      </c>
      <c r="G12">
        <f>ROUND(G11,0)</f>
        <v>8879177</v>
      </c>
    </row>
    <row r="13" spans="1:7" x14ac:dyDescent="0.3">
      <c r="B13" s="32" t="s">
        <v>87</v>
      </c>
      <c r="G13" s="36" t="str">
        <f>"&amp;h " &amp; DEC2HEX(G12)</f>
        <v>&amp;h 877C49</v>
      </c>
    </row>
    <row r="15" spans="1:7" x14ac:dyDescent="0.3">
      <c r="A15" t="s">
        <v>74</v>
      </c>
      <c r="B15" s="32" t="s">
        <v>87</v>
      </c>
      <c r="C15">
        <v>1800000000</v>
      </c>
      <c r="D15" t="s">
        <v>94</v>
      </c>
      <c r="G15" s="33">
        <v>1800000000</v>
      </c>
    </row>
    <row r="16" spans="1:7" x14ac:dyDescent="0.3">
      <c r="A16" t="s">
        <v>75</v>
      </c>
      <c r="B16" s="32" t="s">
        <v>87</v>
      </c>
      <c r="C16" s="35">
        <v>-694967296</v>
      </c>
      <c r="D16" t="s">
        <v>95</v>
      </c>
      <c r="G16" s="33">
        <v>3600000000</v>
      </c>
    </row>
    <row r="17" spans="1:7" x14ac:dyDescent="0.3">
      <c r="A17" t="s">
        <v>76</v>
      </c>
      <c r="B17" s="32" t="s">
        <v>87</v>
      </c>
      <c r="C17">
        <v>4738800</v>
      </c>
      <c r="D17" t="s">
        <v>96</v>
      </c>
      <c r="G17">
        <f>G3</f>
        <v>4738800</v>
      </c>
    </row>
    <row r="18" spans="1:7" x14ac:dyDescent="0.3">
      <c r="A18" t="s">
        <v>77</v>
      </c>
      <c r="B18" s="32" t="s">
        <v>87</v>
      </c>
      <c r="C18" s="35">
        <v>-43568224</v>
      </c>
      <c r="D18" t="s">
        <v>97</v>
      </c>
      <c r="G18">
        <f>(G17+G15)*G9/G16</f>
        <v>8410691.9073450007</v>
      </c>
    </row>
    <row r="19" spans="1:7" x14ac:dyDescent="0.3">
      <c r="A19" t="s">
        <v>78</v>
      </c>
      <c r="B19" s="32" t="s">
        <v>87</v>
      </c>
      <c r="C19">
        <v>4251399072</v>
      </c>
      <c r="D19" t="s">
        <v>98</v>
      </c>
      <c r="G19">
        <f>ROUND(G18,0)</f>
        <v>8410692</v>
      </c>
    </row>
    <row r="20" spans="1:7" x14ac:dyDescent="0.3">
      <c r="A20" t="s">
        <v>79</v>
      </c>
      <c r="B20" s="32" t="s">
        <v>87</v>
      </c>
      <c r="G20" s="36" t="str">
        <f>"&amp;h " &amp; DEC2HEX(G19)</f>
        <v>&amp;h 805644</v>
      </c>
    </row>
    <row r="21" spans="1:7" x14ac:dyDescent="0.3">
      <c r="B21" s="32" t="s">
        <v>87</v>
      </c>
      <c r="C21">
        <v>678</v>
      </c>
      <c r="D21" t="s">
        <v>99</v>
      </c>
    </row>
    <row r="22" spans="1:7" x14ac:dyDescent="0.3">
      <c r="B22" s="32" t="s">
        <v>87</v>
      </c>
      <c r="C22">
        <v>678</v>
      </c>
      <c r="D22" t="s">
        <v>100</v>
      </c>
      <c r="G22" s="36" t="str">
        <f>"&amp;h " &amp; DEC2HEX(G4)</f>
        <v>&amp;h 2A6</v>
      </c>
    </row>
    <row r="23" spans="1:7" x14ac:dyDescent="0.3">
      <c r="B23" s="32" t="s">
        <v>87</v>
      </c>
    </row>
    <row r="24" spans="1:7" x14ac:dyDescent="0.3">
      <c r="A24" t="s">
        <v>80</v>
      </c>
      <c r="B24" s="32" t="s">
        <v>87</v>
      </c>
      <c r="C24">
        <v>2345</v>
      </c>
      <c r="D24" t="s">
        <v>101</v>
      </c>
    </row>
    <row r="25" spans="1:7" x14ac:dyDescent="0.3">
      <c r="A25" t="s">
        <v>81</v>
      </c>
      <c r="B25" s="32" t="s">
        <v>87</v>
      </c>
      <c r="C25">
        <v>23</v>
      </c>
      <c r="D25" t="s">
        <v>102</v>
      </c>
      <c r="G25" s="36" t="str">
        <f>"&amp;h " &amp; DEC2HEX(G5/100)</f>
        <v>&amp;h 17</v>
      </c>
    </row>
    <row r="27" spans="1:7" x14ac:dyDescent="0.3">
      <c r="A27" s="35" t="s">
        <v>104</v>
      </c>
    </row>
    <row r="28" spans="1:7" x14ac:dyDescent="0.3">
      <c r="A28" t="s">
        <v>105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O52"/>
  <sheetViews>
    <sheetView workbookViewId="0">
      <pane ySplit="1" topLeftCell="A12" activePane="bottomLeft" state="frozen"/>
      <selection pane="bottomLeft" activeCell="N26" sqref="N26"/>
    </sheetView>
  </sheetViews>
  <sheetFormatPr defaultRowHeight="14.4" x14ac:dyDescent="0.3"/>
  <cols>
    <col min="2" max="2" width="18.33203125" bestFit="1" customWidth="1"/>
    <col min="3" max="3" width="20.6640625" bestFit="1" customWidth="1"/>
    <col min="14" max="14" width="16.88671875" style="44" customWidth="1"/>
    <col min="15" max="15" width="17.77734375" style="49" bestFit="1" customWidth="1"/>
  </cols>
  <sheetData>
    <row r="1" spans="1:14" x14ac:dyDescent="0.3">
      <c r="A1" s="16" t="s">
        <v>87</v>
      </c>
      <c r="B1" s="38" t="s">
        <v>9</v>
      </c>
      <c r="C1" s="6" t="s">
        <v>10</v>
      </c>
      <c r="D1" s="6" t="s">
        <v>11</v>
      </c>
      <c r="E1" s="7" t="s">
        <v>12</v>
      </c>
      <c r="F1" s="7" t="s">
        <v>13</v>
      </c>
      <c r="G1" s="8" t="s">
        <v>14</v>
      </c>
      <c r="H1" s="9" t="s">
        <v>110</v>
      </c>
      <c r="I1" s="6" t="s">
        <v>108</v>
      </c>
      <c r="J1" s="6" t="s">
        <v>109</v>
      </c>
      <c r="K1" s="9" t="s">
        <v>16</v>
      </c>
      <c r="L1" s="6" t="s">
        <v>111</v>
      </c>
      <c r="M1" s="10" t="s">
        <v>17</v>
      </c>
      <c r="N1" s="47" t="s">
        <v>217</v>
      </c>
    </row>
    <row r="2" spans="1:14" x14ac:dyDescent="0.3">
      <c r="A2" t="s">
        <v>115</v>
      </c>
      <c r="B2" s="39">
        <v>43033.150069444448</v>
      </c>
      <c r="C2" t="s">
        <v>67</v>
      </c>
      <c r="D2" t="s">
        <v>116</v>
      </c>
      <c r="E2">
        <v>52.632695593398502</v>
      </c>
      <c r="F2">
        <v>4.7380152188548497</v>
      </c>
      <c r="G2">
        <v>0</v>
      </c>
      <c r="H2">
        <v>0.6</v>
      </c>
      <c r="I2">
        <v>-90</v>
      </c>
      <c r="J2">
        <v>-180</v>
      </c>
      <c r="K2">
        <v>0</v>
      </c>
      <c r="L2">
        <v>3.64</v>
      </c>
      <c r="M2">
        <v>-9</v>
      </c>
    </row>
    <row r="3" spans="1:14" x14ac:dyDescent="0.3">
      <c r="A3" t="s">
        <v>117</v>
      </c>
      <c r="B3" s="39">
        <v>43033.152812499997</v>
      </c>
      <c r="C3" t="s">
        <v>107</v>
      </c>
      <c r="D3" t="s">
        <v>118</v>
      </c>
      <c r="E3">
        <v>52.632727779908599</v>
      </c>
      <c r="F3">
        <v>4.7380152188548497</v>
      </c>
      <c r="G3">
        <v>0</v>
      </c>
      <c r="H3">
        <v>0.6</v>
      </c>
      <c r="I3">
        <v>-90</v>
      </c>
      <c r="J3">
        <v>-180</v>
      </c>
      <c r="K3">
        <v>0</v>
      </c>
      <c r="L3">
        <v>3.56</v>
      </c>
      <c r="M3">
        <v>-6</v>
      </c>
    </row>
    <row r="4" spans="1:14" x14ac:dyDescent="0.3">
      <c r="A4" t="s">
        <v>119</v>
      </c>
      <c r="B4" s="39">
        <v>43033.152881944443</v>
      </c>
      <c r="C4" t="s">
        <v>67</v>
      </c>
      <c r="D4" t="s">
        <v>120</v>
      </c>
      <c r="E4">
        <v>52.632695593398502</v>
      </c>
      <c r="F4">
        <v>4.7380152188548497</v>
      </c>
      <c r="G4">
        <v>1</v>
      </c>
      <c r="H4">
        <v>0.6</v>
      </c>
      <c r="I4">
        <v>-90</v>
      </c>
      <c r="J4">
        <v>-180</v>
      </c>
      <c r="K4">
        <v>1.1000000000000001</v>
      </c>
      <c r="L4">
        <v>3.66</v>
      </c>
      <c r="M4">
        <v>-9</v>
      </c>
    </row>
    <row r="5" spans="1:14" x14ac:dyDescent="0.3">
      <c r="A5" t="s">
        <v>121</v>
      </c>
      <c r="B5" s="39">
        <v>43033.153298611112</v>
      </c>
      <c r="C5" t="s">
        <v>66</v>
      </c>
      <c r="D5" t="s">
        <v>122</v>
      </c>
      <c r="E5">
        <v>52.632620491541601</v>
      </c>
      <c r="F5">
        <v>4.73807959187502</v>
      </c>
      <c r="G5">
        <v>0</v>
      </c>
      <c r="H5">
        <v>0.6</v>
      </c>
      <c r="I5">
        <v>-90</v>
      </c>
      <c r="J5">
        <v>-180</v>
      </c>
      <c r="K5">
        <v>0</v>
      </c>
      <c r="L5">
        <v>3.64</v>
      </c>
      <c r="M5">
        <v>-8</v>
      </c>
    </row>
    <row r="6" spans="1:14" x14ac:dyDescent="0.3">
      <c r="A6" t="s">
        <v>123</v>
      </c>
      <c r="B6" s="39">
        <v>43033.155624999999</v>
      </c>
      <c r="C6" t="s">
        <v>107</v>
      </c>
      <c r="D6" t="s">
        <v>124</v>
      </c>
      <c r="E6">
        <v>52.632695593398502</v>
      </c>
      <c r="F6">
        <v>4.7380152188548497</v>
      </c>
      <c r="G6">
        <v>0</v>
      </c>
      <c r="H6">
        <v>1</v>
      </c>
      <c r="I6">
        <v>-90</v>
      </c>
      <c r="J6">
        <v>-180</v>
      </c>
      <c r="K6">
        <v>0</v>
      </c>
      <c r="L6">
        <v>3.46</v>
      </c>
      <c r="M6">
        <v>-7</v>
      </c>
    </row>
    <row r="7" spans="1:14" x14ac:dyDescent="0.3">
      <c r="A7" t="s">
        <v>125</v>
      </c>
      <c r="B7" s="39">
        <v>43033.155694444446</v>
      </c>
      <c r="C7" t="s">
        <v>67</v>
      </c>
      <c r="D7" t="s">
        <v>126</v>
      </c>
      <c r="E7">
        <v>52.632684864561803</v>
      </c>
      <c r="F7">
        <v>4.7379723035080499</v>
      </c>
      <c r="G7">
        <v>0</v>
      </c>
      <c r="H7">
        <v>0.6</v>
      </c>
      <c r="I7">
        <v>-90</v>
      </c>
      <c r="J7">
        <v>-180</v>
      </c>
      <c r="K7">
        <v>0</v>
      </c>
      <c r="L7">
        <v>3.64</v>
      </c>
      <c r="M7">
        <v>-9</v>
      </c>
    </row>
    <row r="8" spans="1:14" x14ac:dyDescent="0.3">
      <c r="A8" t="s">
        <v>127</v>
      </c>
      <c r="B8" s="39">
        <v>43033.156111111108</v>
      </c>
      <c r="C8" t="s">
        <v>66</v>
      </c>
      <c r="D8" t="s">
        <v>128</v>
      </c>
      <c r="E8">
        <v>52.6326312203783</v>
      </c>
      <c r="F8">
        <v>4.7380152188548497</v>
      </c>
      <c r="G8">
        <v>0</v>
      </c>
      <c r="H8">
        <v>0.7</v>
      </c>
      <c r="I8">
        <v>-90</v>
      </c>
      <c r="J8">
        <v>-180</v>
      </c>
      <c r="K8">
        <v>0</v>
      </c>
      <c r="L8">
        <v>3.68</v>
      </c>
      <c r="M8">
        <v>-8</v>
      </c>
    </row>
    <row r="9" spans="1:14" x14ac:dyDescent="0.3">
      <c r="A9" t="s">
        <v>129</v>
      </c>
      <c r="B9" s="39">
        <v>43033.161249999997</v>
      </c>
      <c r="C9" t="s">
        <v>107</v>
      </c>
      <c r="D9" t="s">
        <v>130</v>
      </c>
      <c r="E9">
        <v>52.6327170510719</v>
      </c>
      <c r="F9">
        <v>4.7380152188548497</v>
      </c>
      <c r="G9">
        <v>0</v>
      </c>
      <c r="H9">
        <v>0.6</v>
      </c>
      <c r="I9">
        <v>-90</v>
      </c>
      <c r="J9">
        <v>-180</v>
      </c>
      <c r="K9">
        <v>0</v>
      </c>
      <c r="L9">
        <v>3.54</v>
      </c>
      <c r="M9">
        <v>-7</v>
      </c>
    </row>
    <row r="10" spans="1:14" x14ac:dyDescent="0.3">
      <c r="A10" t="s">
        <v>131</v>
      </c>
      <c r="B10" s="39">
        <v>43033.161319444444</v>
      </c>
      <c r="C10" t="s">
        <v>67</v>
      </c>
      <c r="D10" t="s">
        <v>132</v>
      </c>
      <c r="E10">
        <v>52.632674135725097</v>
      </c>
      <c r="F10">
        <v>4.7380366765282202</v>
      </c>
      <c r="G10">
        <v>0</v>
      </c>
      <c r="H10">
        <v>0.8</v>
      </c>
      <c r="I10">
        <v>-90</v>
      </c>
      <c r="J10">
        <v>-180</v>
      </c>
      <c r="K10">
        <v>1.1000000000000001</v>
      </c>
      <c r="L10">
        <v>3.64</v>
      </c>
      <c r="M10">
        <v>-9</v>
      </c>
    </row>
    <row r="11" spans="1:14" x14ac:dyDescent="0.3">
      <c r="A11" t="s">
        <v>133</v>
      </c>
      <c r="B11" s="39">
        <v>43033.161736111113</v>
      </c>
      <c r="C11" t="s">
        <v>66</v>
      </c>
      <c r="D11" t="s">
        <v>134</v>
      </c>
      <c r="E11">
        <v>52.632566847358099</v>
      </c>
      <c r="F11">
        <v>4.7380152188548497</v>
      </c>
      <c r="G11">
        <v>0</v>
      </c>
      <c r="H11">
        <v>0.6</v>
      </c>
      <c r="I11">
        <v>-90</v>
      </c>
      <c r="J11">
        <v>-180</v>
      </c>
      <c r="K11">
        <v>0</v>
      </c>
      <c r="L11">
        <v>3.72</v>
      </c>
      <c r="M11">
        <v>-9</v>
      </c>
    </row>
    <row r="12" spans="1:14" x14ac:dyDescent="0.3">
      <c r="A12" t="s">
        <v>135</v>
      </c>
      <c r="B12" s="39">
        <v>43033.1640625</v>
      </c>
      <c r="C12" t="s">
        <v>107</v>
      </c>
      <c r="D12" t="s">
        <v>136</v>
      </c>
      <c r="E12">
        <v>52.619016326607202</v>
      </c>
      <c r="F12">
        <v>4.7316637475290104</v>
      </c>
      <c r="G12">
        <v>0</v>
      </c>
      <c r="H12">
        <v>0.6</v>
      </c>
      <c r="I12">
        <v>-90</v>
      </c>
      <c r="J12">
        <v>-180</v>
      </c>
      <c r="K12">
        <v>0</v>
      </c>
      <c r="L12">
        <v>3.54</v>
      </c>
      <c r="M12">
        <v>-7</v>
      </c>
    </row>
    <row r="13" spans="1:14" x14ac:dyDescent="0.3">
      <c r="A13" t="s">
        <v>137</v>
      </c>
      <c r="B13" s="39">
        <v>43033.180937500001</v>
      </c>
      <c r="C13" t="s">
        <v>107</v>
      </c>
      <c r="D13" t="s">
        <v>138</v>
      </c>
      <c r="E13">
        <v>52.338661094824097</v>
      </c>
      <c r="F13">
        <v>4.8772326038618399</v>
      </c>
      <c r="G13">
        <v>0</v>
      </c>
      <c r="H13">
        <v>0.7</v>
      </c>
      <c r="I13">
        <v>-90</v>
      </c>
      <c r="J13">
        <v>-180</v>
      </c>
      <c r="K13">
        <v>0</v>
      </c>
      <c r="L13">
        <v>3.54</v>
      </c>
      <c r="M13">
        <v>-7</v>
      </c>
    </row>
    <row r="14" spans="1:14" x14ac:dyDescent="0.3">
      <c r="A14" t="s">
        <v>139</v>
      </c>
      <c r="B14" s="39">
        <v>43033.181018518517</v>
      </c>
      <c r="C14" t="s">
        <v>67</v>
      </c>
      <c r="D14" t="s">
        <v>140</v>
      </c>
      <c r="E14">
        <v>52.338618179477301</v>
      </c>
      <c r="F14">
        <v>4.8798289823429801</v>
      </c>
      <c r="G14">
        <v>0</v>
      </c>
      <c r="H14">
        <v>0.6</v>
      </c>
      <c r="I14">
        <v>-90</v>
      </c>
      <c r="J14">
        <v>-180</v>
      </c>
      <c r="K14">
        <v>1.1000000000000001</v>
      </c>
      <c r="L14">
        <v>3.64</v>
      </c>
      <c r="M14">
        <v>-9</v>
      </c>
    </row>
    <row r="15" spans="1:14" x14ac:dyDescent="0.3">
      <c r="A15" t="s">
        <v>141</v>
      </c>
      <c r="B15" s="39">
        <v>43033.183831018519</v>
      </c>
      <c r="C15" t="s">
        <v>67</v>
      </c>
      <c r="D15" t="s">
        <v>142</v>
      </c>
      <c r="E15">
        <v>52.350140950092097</v>
      </c>
      <c r="F15">
        <v>4.9648013689995301</v>
      </c>
      <c r="G15">
        <v>0</v>
      </c>
      <c r="H15">
        <v>0.6</v>
      </c>
      <c r="I15">
        <v>-90</v>
      </c>
      <c r="J15">
        <v>-180</v>
      </c>
      <c r="K15">
        <v>0</v>
      </c>
      <c r="L15">
        <v>3.58</v>
      </c>
      <c r="M15">
        <v>-9</v>
      </c>
      <c r="N15" s="46"/>
    </row>
    <row r="16" spans="1:14" x14ac:dyDescent="0.3">
      <c r="A16" t="s">
        <v>143</v>
      </c>
      <c r="B16" s="39">
        <v>43033.217581018522</v>
      </c>
      <c r="C16" t="s">
        <v>67</v>
      </c>
      <c r="D16" t="s">
        <v>144</v>
      </c>
      <c r="E16">
        <v>52.231115235752704</v>
      </c>
      <c r="F16">
        <v>6.1658517221124196</v>
      </c>
      <c r="G16">
        <v>0</v>
      </c>
      <c r="H16">
        <v>0.7</v>
      </c>
      <c r="I16">
        <v>-90</v>
      </c>
      <c r="J16">
        <v>-180</v>
      </c>
      <c r="K16">
        <v>0</v>
      </c>
      <c r="L16">
        <v>3.56</v>
      </c>
      <c r="M16">
        <v>-9</v>
      </c>
      <c r="N16" s="46"/>
    </row>
    <row r="17" spans="1:15" s="40" customFormat="1" x14ac:dyDescent="0.3">
      <c r="A17" s="40" t="s">
        <v>145</v>
      </c>
      <c r="B17" s="41">
        <v>43033.232060185182</v>
      </c>
      <c r="C17" s="40" t="s">
        <v>66</v>
      </c>
      <c r="D17" s="40" t="s">
        <v>146</v>
      </c>
      <c r="E17" s="40">
        <v>52.284641402044301</v>
      </c>
      <c r="F17" s="40">
        <v>6.7465607372856704</v>
      </c>
      <c r="G17" s="40">
        <v>0</v>
      </c>
      <c r="H17" s="40">
        <v>0.6</v>
      </c>
      <c r="I17" s="40">
        <v>-90</v>
      </c>
      <c r="J17" s="40">
        <v>-180</v>
      </c>
      <c r="K17" s="40">
        <v>0</v>
      </c>
      <c r="L17" s="40">
        <v>3.68</v>
      </c>
      <c r="M17" s="40">
        <v>-8</v>
      </c>
      <c r="N17" s="48"/>
      <c r="O17" s="50"/>
    </row>
    <row r="18" spans="1:15" x14ac:dyDescent="0.3">
      <c r="A18" t="s">
        <v>147</v>
      </c>
      <c r="B18" s="39">
        <v>43034.66746527778</v>
      </c>
      <c r="C18" t="s">
        <v>66</v>
      </c>
      <c r="D18" t="s">
        <v>148</v>
      </c>
      <c r="E18">
        <v>52.456023839475101</v>
      </c>
      <c r="F18">
        <v>16.954619702972099</v>
      </c>
      <c r="G18">
        <v>7</v>
      </c>
      <c r="H18">
        <v>0.5</v>
      </c>
      <c r="I18">
        <v>-90</v>
      </c>
      <c r="J18">
        <v>-180</v>
      </c>
      <c r="K18">
        <v>0</v>
      </c>
      <c r="L18" s="45">
        <v>3.54</v>
      </c>
      <c r="M18">
        <v>-7</v>
      </c>
      <c r="N18" s="46"/>
    </row>
    <row r="19" spans="1:15" x14ac:dyDescent="0.3">
      <c r="A19" t="s">
        <v>149</v>
      </c>
      <c r="B19" s="39">
        <v>43034.668333333335</v>
      </c>
      <c r="C19" t="s">
        <v>107</v>
      </c>
      <c r="D19" t="s">
        <v>150</v>
      </c>
      <c r="E19" s="37">
        <v>-5.36441834242396E-6</v>
      </c>
      <c r="F19" s="37">
        <v>-1.07288366848479E-5</v>
      </c>
      <c r="G19">
        <v>67</v>
      </c>
      <c r="H19">
        <v>20.2</v>
      </c>
      <c r="I19">
        <v>-90</v>
      </c>
      <c r="J19">
        <v>-180</v>
      </c>
      <c r="K19">
        <v>0</v>
      </c>
      <c r="L19">
        <v>3.48</v>
      </c>
      <c r="M19">
        <v>-9</v>
      </c>
      <c r="N19" s="46">
        <f t="shared" ref="N19:N20" si="0">B19-B18</f>
        <v>8.6805555474711582E-4</v>
      </c>
    </row>
    <row r="20" spans="1:15" s="35" customFormat="1" x14ac:dyDescent="0.3">
      <c r="A20" s="35" t="s">
        <v>151</v>
      </c>
      <c r="B20" s="42">
        <v>43034.668333333335</v>
      </c>
      <c r="C20" s="35" t="s">
        <v>67</v>
      </c>
      <c r="D20" s="35" t="s">
        <v>152</v>
      </c>
      <c r="E20" s="43">
        <v>-5.36441834242396E-6</v>
      </c>
      <c r="F20" s="43">
        <v>-1.07288366848479E-5</v>
      </c>
      <c r="G20" s="35">
        <v>67</v>
      </c>
      <c r="H20" s="35">
        <v>20.2</v>
      </c>
      <c r="I20" s="35">
        <v>-90</v>
      </c>
      <c r="J20" s="35">
        <v>-180</v>
      </c>
      <c r="K20" s="35">
        <v>1.1000000000000001</v>
      </c>
      <c r="L20" s="35">
        <v>0.04</v>
      </c>
      <c r="M20" s="35">
        <v>59</v>
      </c>
      <c r="N20" s="46">
        <f t="shared" si="0"/>
        <v>0</v>
      </c>
      <c r="O20" s="51"/>
    </row>
    <row r="21" spans="1:15" s="35" customFormat="1" x14ac:dyDescent="0.3">
      <c r="A21" s="35" t="s">
        <v>153</v>
      </c>
      <c r="B21" s="42">
        <v>43034.668541666666</v>
      </c>
      <c r="C21" s="35" t="s">
        <v>67</v>
      </c>
      <c r="D21" s="35" t="s">
        <v>154</v>
      </c>
      <c r="E21" s="35">
        <v>52.4570108924514</v>
      </c>
      <c r="F21" s="35">
        <v>16.955306348520899</v>
      </c>
      <c r="G21" s="35">
        <v>11</v>
      </c>
      <c r="H21" s="35">
        <v>2.6</v>
      </c>
      <c r="I21" s="35">
        <v>-90</v>
      </c>
      <c r="J21" s="35">
        <v>-180</v>
      </c>
      <c r="K21" s="35">
        <v>0</v>
      </c>
      <c r="L21" s="35">
        <v>0.04</v>
      </c>
      <c r="M21" s="35">
        <v>59</v>
      </c>
      <c r="N21" s="46">
        <f>B21-B20</f>
        <v>2.0833333110203966E-4</v>
      </c>
      <c r="O21" s="52" t="s">
        <v>218</v>
      </c>
    </row>
    <row r="22" spans="1:15" x14ac:dyDescent="0.3">
      <c r="A22" t="s">
        <v>155</v>
      </c>
      <c r="B22" s="39">
        <v>43034.669560185182</v>
      </c>
      <c r="C22" t="s">
        <v>66</v>
      </c>
      <c r="D22" t="s">
        <v>156</v>
      </c>
      <c r="E22">
        <v>52.456560281309997</v>
      </c>
      <c r="F22">
        <v>16.9552634331741</v>
      </c>
      <c r="G22">
        <v>7</v>
      </c>
      <c r="H22">
        <v>0.6</v>
      </c>
      <c r="I22">
        <v>-90</v>
      </c>
      <c r="J22">
        <v>-180</v>
      </c>
      <c r="K22">
        <v>1.1000000000000001</v>
      </c>
      <c r="L22">
        <v>3.44</v>
      </c>
      <c r="M22">
        <v>-9</v>
      </c>
      <c r="N22" s="46">
        <f t="shared" ref="N22:N52" si="1">B22-B21</f>
        <v>1.0185185165028088E-3</v>
      </c>
    </row>
    <row r="23" spans="1:15" x14ac:dyDescent="0.3">
      <c r="A23" t="s">
        <v>157</v>
      </c>
      <c r="B23" s="39">
        <v>43034.669768518521</v>
      </c>
      <c r="C23" t="s">
        <v>66</v>
      </c>
      <c r="D23" t="s">
        <v>158</v>
      </c>
      <c r="E23">
        <v>52.456613925493599</v>
      </c>
      <c r="F23">
        <v>16.9552205178273</v>
      </c>
      <c r="G23">
        <v>7</v>
      </c>
      <c r="H23">
        <v>0.6</v>
      </c>
      <c r="I23">
        <v>-90</v>
      </c>
      <c r="J23">
        <v>-180</v>
      </c>
      <c r="K23">
        <v>1.1000000000000001</v>
      </c>
      <c r="L23">
        <v>3.52</v>
      </c>
      <c r="M23">
        <v>60</v>
      </c>
      <c r="N23" s="46">
        <f t="shared" si="1"/>
        <v>2.0833333837799728E-4</v>
      </c>
      <c r="O23" s="53" t="s">
        <v>218</v>
      </c>
    </row>
    <row r="24" spans="1:15" x14ac:dyDescent="0.3">
      <c r="A24" t="s">
        <v>159</v>
      </c>
      <c r="B24" s="39">
        <v>43034.669965277775</v>
      </c>
      <c r="C24" t="s">
        <v>66</v>
      </c>
      <c r="D24" t="s">
        <v>160</v>
      </c>
      <c r="E24">
        <v>52.456581738983402</v>
      </c>
      <c r="F24">
        <v>16.955241975500702</v>
      </c>
      <c r="G24">
        <v>6</v>
      </c>
      <c r="H24">
        <v>0.6</v>
      </c>
      <c r="I24">
        <v>-90</v>
      </c>
      <c r="J24">
        <v>-180</v>
      </c>
      <c r="K24">
        <v>1.1000000000000001</v>
      </c>
      <c r="L24">
        <v>3.48</v>
      </c>
      <c r="M24">
        <v>60</v>
      </c>
      <c r="N24" s="46">
        <f t="shared" si="1"/>
        <v>1.9675925432238728E-4</v>
      </c>
      <c r="O24" s="53" t="s">
        <v>218</v>
      </c>
    </row>
    <row r="25" spans="1:15" x14ac:dyDescent="0.3">
      <c r="A25" t="s">
        <v>161</v>
      </c>
      <c r="B25" s="39">
        <v>43034.670173611114</v>
      </c>
      <c r="C25" t="s">
        <v>66</v>
      </c>
      <c r="D25" t="s">
        <v>162</v>
      </c>
      <c r="E25">
        <v>52.456699756187099</v>
      </c>
      <c r="F25">
        <v>16.955370721541101</v>
      </c>
      <c r="G25">
        <v>6</v>
      </c>
      <c r="H25">
        <v>0.5</v>
      </c>
      <c r="I25">
        <v>-90</v>
      </c>
      <c r="J25">
        <v>-180</v>
      </c>
      <c r="K25">
        <v>1.1000000000000001</v>
      </c>
      <c r="L25">
        <v>3.44</v>
      </c>
      <c r="M25">
        <v>60</v>
      </c>
      <c r="N25" s="46">
        <f t="shared" si="1"/>
        <v>2.0833333837799728E-4</v>
      </c>
      <c r="O25" s="53" t="s">
        <v>218</v>
      </c>
    </row>
    <row r="26" spans="1:15" x14ac:dyDescent="0.3">
      <c r="A26" t="s">
        <v>163</v>
      </c>
      <c r="B26" s="39">
        <v>43034.670381944445</v>
      </c>
      <c r="C26" t="s">
        <v>66</v>
      </c>
      <c r="D26" t="s">
        <v>164</v>
      </c>
      <c r="E26">
        <v>52.456721213860497</v>
      </c>
      <c r="F26">
        <v>16.955284890847501</v>
      </c>
      <c r="G26">
        <v>6</v>
      </c>
      <c r="H26">
        <v>0.5</v>
      </c>
      <c r="I26">
        <v>-90</v>
      </c>
      <c r="J26">
        <v>-180</v>
      </c>
      <c r="K26">
        <v>1.1000000000000001</v>
      </c>
      <c r="L26">
        <v>3.56</v>
      </c>
      <c r="M26">
        <v>60</v>
      </c>
      <c r="N26" s="46">
        <f t="shared" si="1"/>
        <v>2.0833333110203966E-4</v>
      </c>
      <c r="O26" s="53" t="s">
        <v>218</v>
      </c>
    </row>
    <row r="27" spans="1:15" x14ac:dyDescent="0.3">
      <c r="A27" t="s">
        <v>165</v>
      </c>
      <c r="B27" s="39">
        <v>43034.670590277776</v>
      </c>
      <c r="C27" t="s">
        <v>66</v>
      </c>
      <c r="D27" t="s">
        <v>166</v>
      </c>
      <c r="E27">
        <v>52.456721213860497</v>
      </c>
      <c r="F27">
        <v>16.955284890847501</v>
      </c>
      <c r="G27">
        <v>6</v>
      </c>
      <c r="H27">
        <v>0.6</v>
      </c>
      <c r="I27">
        <v>-90</v>
      </c>
      <c r="J27">
        <v>-180</v>
      </c>
      <c r="K27">
        <v>0</v>
      </c>
      <c r="L27">
        <v>3.44</v>
      </c>
      <c r="M27">
        <v>-9</v>
      </c>
      <c r="N27" s="46">
        <f t="shared" si="1"/>
        <v>2.0833333110203966E-4</v>
      </c>
      <c r="O27" s="53" t="s">
        <v>218</v>
      </c>
    </row>
    <row r="28" spans="1:15" x14ac:dyDescent="0.3">
      <c r="A28" t="s">
        <v>167</v>
      </c>
      <c r="B28" s="39">
        <v>43034.670787037037</v>
      </c>
      <c r="C28" t="s">
        <v>66</v>
      </c>
      <c r="D28" t="s">
        <v>168</v>
      </c>
      <c r="E28">
        <v>52.456721213860497</v>
      </c>
      <c r="F28">
        <v>16.9551346871337</v>
      </c>
      <c r="G28">
        <v>6</v>
      </c>
      <c r="H28">
        <v>0.5</v>
      </c>
      <c r="I28">
        <v>-90</v>
      </c>
      <c r="J28">
        <v>-180</v>
      </c>
      <c r="K28">
        <v>0</v>
      </c>
      <c r="L28">
        <v>3.44</v>
      </c>
      <c r="M28">
        <v>-9</v>
      </c>
      <c r="N28" s="46">
        <f t="shared" si="1"/>
        <v>1.9675926159834489E-4</v>
      </c>
      <c r="O28" s="53" t="s">
        <v>218</v>
      </c>
    </row>
    <row r="29" spans="1:15" x14ac:dyDescent="0.3">
      <c r="A29" t="s">
        <v>169</v>
      </c>
      <c r="B29" s="39">
        <v>43034.670995370368</v>
      </c>
      <c r="C29" t="s">
        <v>66</v>
      </c>
      <c r="D29" t="s">
        <v>170</v>
      </c>
      <c r="E29">
        <v>52.456721213860497</v>
      </c>
      <c r="F29">
        <v>16.955113229460299</v>
      </c>
      <c r="G29">
        <v>6</v>
      </c>
      <c r="H29">
        <v>0.6</v>
      </c>
      <c r="I29">
        <v>-90</v>
      </c>
      <c r="J29">
        <v>-180</v>
      </c>
      <c r="K29">
        <v>1.1000000000000001</v>
      </c>
      <c r="L29">
        <v>3.44</v>
      </c>
      <c r="M29">
        <v>60</v>
      </c>
      <c r="N29" s="46">
        <f t="shared" si="1"/>
        <v>2.0833333110203966E-4</v>
      </c>
      <c r="O29" s="53" t="s">
        <v>218</v>
      </c>
    </row>
    <row r="30" spans="1:15" x14ac:dyDescent="0.3">
      <c r="A30" t="s">
        <v>171</v>
      </c>
      <c r="B30" s="39">
        <v>43034.671203703707</v>
      </c>
      <c r="C30" t="s">
        <v>66</v>
      </c>
      <c r="D30" t="s">
        <v>172</v>
      </c>
      <c r="E30">
        <v>52.456721213860497</v>
      </c>
      <c r="F30">
        <v>16.955113229460299</v>
      </c>
      <c r="G30">
        <v>6</v>
      </c>
      <c r="H30">
        <v>0.6</v>
      </c>
      <c r="I30">
        <v>-90</v>
      </c>
      <c r="J30">
        <v>-180</v>
      </c>
      <c r="K30">
        <v>1.1000000000000001</v>
      </c>
      <c r="L30">
        <v>3.54</v>
      </c>
      <c r="M30">
        <v>60</v>
      </c>
      <c r="N30" s="46">
        <f t="shared" si="1"/>
        <v>2.0833333837799728E-4</v>
      </c>
      <c r="O30" s="53" t="s">
        <v>218</v>
      </c>
    </row>
    <row r="31" spans="1:15" x14ac:dyDescent="0.3">
      <c r="A31" t="s">
        <v>173</v>
      </c>
      <c r="B31" s="39">
        <v>43034.671412037038</v>
      </c>
      <c r="C31" t="s">
        <v>66</v>
      </c>
      <c r="D31" t="s">
        <v>174</v>
      </c>
      <c r="E31">
        <v>52.456721213860497</v>
      </c>
      <c r="F31">
        <v>16.955091771786901</v>
      </c>
      <c r="G31">
        <v>6</v>
      </c>
      <c r="H31">
        <v>0.6</v>
      </c>
      <c r="I31">
        <v>-90</v>
      </c>
      <c r="J31">
        <v>-180</v>
      </c>
      <c r="K31">
        <v>1.1000000000000001</v>
      </c>
      <c r="L31">
        <v>3.44</v>
      </c>
      <c r="M31">
        <v>60</v>
      </c>
      <c r="N31" s="46">
        <f t="shared" si="1"/>
        <v>2.0833333110203966E-4</v>
      </c>
      <c r="O31" s="53" t="s">
        <v>218</v>
      </c>
    </row>
    <row r="32" spans="1:15" x14ac:dyDescent="0.3">
      <c r="A32" t="s">
        <v>175</v>
      </c>
      <c r="B32" s="39">
        <v>43034.6716087963</v>
      </c>
      <c r="C32" t="s">
        <v>66</v>
      </c>
      <c r="D32" t="s">
        <v>176</v>
      </c>
      <c r="E32">
        <v>52.456721213860497</v>
      </c>
      <c r="F32">
        <v>16.955091771786901</v>
      </c>
      <c r="G32">
        <v>7</v>
      </c>
      <c r="H32">
        <v>0.7</v>
      </c>
      <c r="I32">
        <v>-90</v>
      </c>
      <c r="J32">
        <v>-180</v>
      </c>
      <c r="K32">
        <v>1.1000000000000001</v>
      </c>
      <c r="L32">
        <v>3.56</v>
      </c>
      <c r="M32">
        <v>60</v>
      </c>
      <c r="N32" s="46">
        <f t="shared" si="1"/>
        <v>1.9675926159834489E-4</v>
      </c>
      <c r="O32" s="53" t="s">
        <v>218</v>
      </c>
    </row>
    <row r="33" spans="1:15" x14ac:dyDescent="0.3">
      <c r="A33" t="s">
        <v>177</v>
      </c>
      <c r="B33" s="39">
        <v>43034.671817129631</v>
      </c>
      <c r="C33" t="s">
        <v>66</v>
      </c>
      <c r="D33" t="s">
        <v>178</v>
      </c>
      <c r="E33">
        <v>52.456721213860497</v>
      </c>
      <c r="F33">
        <v>16.955070314113499</v>
      </c>
      <c r="G33">
        <v>7</v>
      </c>
      <c r="H33">
        <v>0.6</v>
      </c>
      <c r="I33">
        <v>-90</v>
      </c>
      <c r="J33">
        <v>-180</v>
      </c>
      <c r="K33">
        <v>1.1000000000000001</v>
      </c>
      <c r="L33">
        <v>3.44</v>
      </c>
      <c r="M33">
        <v>60</v>
      </c>
      <c r="N33" s="46">
        <f t="shared" si="1"/>
        <v>2.0833333110203966E-4</v>
      </c>
      <c r="O33" s="53" t="s">
        <v>218</v>
      </c>
    </row>
    <row r="34" spans="1:15" x14ac:dyDescent="0.3">
      <c r="A34" t="s">
        <v>179</v>
      </c>
      <c r="B34" s="39">
        <v>43034.672025462962</v>
      </c>
      <c r="C34" t="s">
        <v>66</v>
      </c>
      <c r="D34" t="s">
        <v>180</v>
      </c>
      <c r="E34">
        <v>52.456710485023798</v>
      </c>
      <c r="F34">
        <v>16.955091771786901</v>
      </c>
      <c r="G34">
        <v>6</v>
      </c>
      <c r="H34">
        <v>0.6</v>
      </c>
      <c r="I34">
        <v>-90</v>
      </c>
      <c r="J34">
        <v>-180</v>
      </c>
      <c r="K34">
        <v>1.7</v>
      </c>
      <c r="L34">
        <v>3.44</v>
      </c>
      <c r="M34">
        <v>-9</v>
      </c>
      <c r="N34" s="46">
        <f t="shared" si="1"/>
        <v>2.0833333110203966E-4</v>
      </c>
      <c r="O34" s="53" t="s">
        <v>218</v>
      </c>
    </row>
    <row r="35" spans="1:15" x14ac:dyDescent="0.3">
      <c r="A35" t="s">
        <v>181</v>
      </c>
      <c r="B35" s="39">
        <v>43034.672430555554</v>
      </c>
      <c r="C35" t="s">
        <v>66</v>
      </c>
      <c r="D35" t="s">
        <v>182</v>
      </c>
      <c r="E35">
        <v>52.456699756187099</v>
      </c>
      <c r="F35">
        <v>16.955048856440101</v>
      </c>
      <c r="G35">
        <v>6</v>
      </c>
      <c r="H35">
        <v>0.5</v>
      </c>
      <c r="I35">
        <v>-90</v>
      </c>
      <c r="J35">
        <v>-180</v>
      </c>
      <c r="K35">
        <v>1.1000000000000001</v>
      </c>
      <c r="L35">
        <v>3.44</v>
      </c>
      <c r="M35">
        <v>-9</v>
      </c>
      <c r="N35" s="46">
        <f t="shared" si="1"/>
        <v>4.0509259270038456E-4</v>
      </c>
      <c r="O35" s="53" t="s">
        <v>219</v>
      </c>
    </row>
    <row r="36" spans="1:15" x14ac:dyDescent="0.3">
      <c r="A36" t="s">
        <v>183</v>
      </c>
      <c r="B36" s="39">
        <v>43034.672847222224</v>
      </c>
      <c r="C36" t="s">
        <v>66</v>
      </c>
      <c r="D36" t="s">
        <v>184</v>
      </c>
      <c r="E36">
        <v>52.456678298513701</v>
      </c>
      <c r="F36">
        <v>16.955284890847501</v>
      </c>
      <c r="G36">
        <v>6</v>
      </c>
      <c r="H36">
        <v>0.6</v>
      </c>
      <c r="I36">
        <v>-90</v>
      </c>
      <c r="J36">
        <v>-180</v>
      </c>
      <c r="K36">
        <v>1.1000000000000001</v>
      </c>
      <c r="L36">
        <v>3.54</v>
      </c>
      <c r="M36">
        <v>60</v>
      </c>
      <c r="N36" s="46">
        <f t="shared" si="1"/>
        <v>4.1666666948003694E-4</v>
      </c>
      <c r="O36" s="53" t="s">
        <v>219</v>
      </c>
    </row>
    <row r="37" spans="1:15" x14ac:dyDescent="0.3">
      <c r="A37" t="s">
        <v>185</v>
      </c>
      <c r="B37" s="39">
        <v>43034.673043981478</v>
      </c>
      <c r="C37" t="s">
        <v>66</v>
      </c>
      <c r="D37" t="s">
        <v>186</v>
      </c>
      <c r="E37">
        <v>52.456216958535698</v>
      </c>
      <c r="F37">
        <v>16.954748449012499</v>
      </c>
      <c r="G37">
        <v>6</v>
      </c>
      <c r="H37">
        <v>0.6</v>
      </c>
      <c r="I37">
        <v>-90</v>
      </c>
      <c r="J37">
        <v>-180</v>
      </c>
      <c r="K37">
        <v>1.1000000000000001</v>
      </c>
      <c r="L37">
        <v>3.42</v>
      </c>
      <c r="M37">
        <v>-9</v>
      </c>
      <c r="N37" s="46">
        <f t="shared" si="1"/>
        <v>1.9675925432238728E-4</v>
      </c>
      <c r="O37" s="53" t="s">
        <v>218</v>
      </c>
    </row>
    <row r="38" spans="1:15" x14ac:dyDescent="0.3">
      <c r="A38" t="s">
        <v>187</v>
      </c>
      <c r="B38" s="39">
        <v>43034.673252314817</v>
      </c>
      <c r="C38" t="s">
        <v>66</v>
      </c>
      <c r="D38" t="s">
        <v>188</v>
      </c>
      <c r="E38">
        <v>52.455229905559399</v>
      </c>
      <c r="F38">
        <v>16.953847226729799</v>
      </c>
      <c r="G38">
        <v>6</v>
      </c>
      <c r="H38">
        <v>0.7</v>
      </c>
      <c r="I38">
        <v>-90</v>
      </c>
      <c r="J38">
        <v>-180</v>
      </c>
      <c r="K38">
        <v>0</v>
      </c>
      <c r="L38">
        <v>3.42</v>
      </c>
      <c r="M38">
        <v>-9</v>
      </c>
      <c r="N38" s="46">
        <f t="shared" si="1"/>
        <v>2.0833333837799728E-4</v>
      </c>
      <c r="O38" s="53" t="s">
        <v>218</v>
      </c>
    </row>
    <row r="39" spans="1:15" x14ac:dyDescent="0.3">
      <c r="A39" t="s">
        <v>189</v>
      </c>
      <c r="B39" s="39">
        <v>43034.673460648148</v>
      </c>
      <c r="C39" t="s">
        <v>66</v>
      </c>
      <c r="D39" t="s">
        <v>190</v>
      </c>
      <c r="E39">
        <v>52.454178479562898</v>
      </c>
      <c r="F39">
        <v>16.953246411874598</v>
      </c>
      <c r="G39">
        <v>6</v>
      </c>
      <c r="H39">
        <v>0.6</v>
      </c>
      <c r="I39">
        <v>-90</v>
      </c>
      <c r="J39">
        <v>-180</v>
      </c>
      <c r="K39">
        <v>1.1000000000000001</v>
      </c>
      <c r="L39">
        <v>3.44</v>
      </c>
      <c r="M39">
        <v>-9</v>
      </c>
      <c r="N39" s="46">
        <f t="shared" si="1"/>
        <v>2.0833333110203966E-4</v>
      </c>
      <c r="O39" s="53" t="s">
        <v>218</v>
      </c>
    </row>
    <row r="40" spans="1:15" x14ac:dyDescent="0.3">
      <c r="A40" t="s">
        <v>191</v>
      </c>
      <c r="B40" s="39">
        <v>43034.673668981479</v>
      </c>
      <c r="C40" t="s">
        <v>66</v>
      </c>
      <c r="D40" t="s">
        <v>192</v>
      </c>
      <c r="E40">
        <v>52.454071191195901</v>
      </c>
      <c r="F40">
        <v>16.954705533665699</v>
      </c>
      <c r="G40">
        <v>6</v>
      </c>
      <c r="H40">
        <v>0.5</v>
      </c>
      <c r="I40">
        <v>-90</v>
      </c>
      <c r="J40">
        <v>-180</v>
      </c>
      <c r="K40">
        <v>1.1000000000000001</v>
      </c>
      <c r="L40">
        <v>3.56</v>
      </c>
      <c r="M40">
        <v>60</v>
      </c>
      <c r="N40" s="46">
        <f t="shared" si="1"/>
        <v>2.0833333110203966E-4</v>
      </c>
      <c r="O40" s="53" t="s">
        <v>218</v>
      </c>
    </row>
    <row r="41" spans="1:15" x14ac:dyDescent="0.3">
      <c r="A41" t="s">
        <v>193</v>
      </c>
      <c r="B41" s="39">
        <v>43034.673877314817</v>
      </c>
      <c r="C41" t="s">
        <v>66</v>
      </c>
      <c r="D41" t="s">
        <v>194</v>
      </c>
      <c r="E41">
        <v>52.454039004685796</v>
      </c>
      <c r="F41">
        <v>16.955435094561199</v>
      </c>
      <c r="G41">
        <v>7</v>
      </c>
      <c r="H41">
        <v>0.6</v>
      </c>
      <c r="I41">
        <v>-90</v>
      </c>
      <c r="J41">
        <v>-180</v>
      </c>
      <c r="K41">
        <v>1.1000000000000001</v>
      </c>
      <c r="L41">
        <v>3.42</v>
      </c>
      <c r="M41">
        <v>-9</v>
      </c>
      <c r="N41" s="46">
        <f t="shared" si="1"/>
        <v>2.0833333837799728E-4</v>
      </c>
      <c r="O41" s="53" t="s">
        <v>218</v>
      </c>
    </row>
    <row r="42" spans="1:15" x14ac:dyDescent="0.3">
      <c r="A42" t="s">
        <v>195</v>
      </c>
      <c r="B42" s="39">
        <v>43034.674074074072</v>
      </c>
      <c r="C42" t="s">
        <v>66</v>
      </c>
      <c r="D42" t="s">
        <v>196</v>
      </c>
      <c r="E42">
        <v>52.454028275849097</v>
      </c>
      <c r="F42">
        <v>16.956722554965101</v>
      </c>
      <c r="G42">
        <v>7</v>
      </c>
      <c r="H42">
        <v>0.6</v>
      </c>
      <c r="I42">
        <v>-90</v>
      </c>
      <c r="J42">
        <v>-180</v>
      </c>
      <c r="K42">
        <v>1.1000000000000001</v>
      </c>
      <c r="L42">
        <v>3.56</v>
      </c>
      <c r="M42">
        <v>60</v>
      </c>
      <c r="N42" s="46">
        <f t="shared" si="1"/>
        <v>1.9675925432238728E-4</v>
      </c>
      <c r="O42" s="53" t="s">
        <v>218</v>
      </c>
    </row>
    <row r="43" spans="1:15" x14ac:dyDescent="0.3">
      <c r="A43" t="s">
        <v>197</v>
      </c>
      <c r="B43" s="39">
        <v>43034.674490740741</v>
      </c>
      <c r="C43" t="s">
        <v>66</v>
      </c>
      <c r="D43" t="s">
        <v>198</v>
      </c>
      <c r="E43">
        <v>52.454049733522503</v>
      </c>
      <c r="F43">
        <v>16.955284890847501</v>
      </c>
      <c r="G43">
        <v>7</v>
      </c>
      <c r="H43">
        <v>0.7</v>
      </c>
      <c r="I43">
        <v>-90</v>
      </c>
      <c r="J43">
        <v>-180</v>
      </c>
      <c r="K43">
        <v>0</v>
      </c>
      <c r="L43">
        <v>3.42</v>
      </c>
      <c r="M43">
        <v>-9</v>
      </c>
      <c r="N43" s="46">
        <f t="shared" si="1"/>
        <v>4.1666666948003694E-4</v>
      </c>
      <c r="O43" s="53" t="s">
        <v>219</v>
      </c>
    </row>
    <row r="44" spans="1:15" x14ac:dyDescent="0.3">
      <c r="A44" t="s">
        <v>199</v>
      </c>
      <c r="B44" s="39">
        <v>43034.674699074072</v>
      </c>
      <c r="C44" t="s">
        <v>66</v>
      </c>
      <c r="D44" t="s">
        <v>200</v>
      </c>
      <c r="E44">
        <v>52.454135564216102</v>
      </c>
      <c r="F44">
        <v>16.953396615588399</v>
      </c>
      <c r="G44">
        <v>7</v>
      </c>
      <c r="H44">
        <v>0.5</v>
      </c>
      <c r="I44">
        <v>-90</v>
      </c>
      <c r="J44">
        <v>-180</v>
      </c>
      <c r="K44">
        <v>1.1000000000000001</v>
      </c>
      <c r="L44">
        <v>3.44</v>
      </c>
      <c r="M44">
        <v>-9</v>
      </c>
      <c r="N44" s="46">
        <f t="shared" si="1"/>
        <v>2.0833333110203966E-4</v>
      </c>
      <c r="O44" s="53" t="s">
        <v>218</v>
      </c>
    </row>
    <row r="45" spans="1:15" x14ac:dyDescent="0.3">
      <c r="A45" t="s">
        <v>201</v>
      </c>
      <c r="B45" s="39">
        <v>43034.674895833334</v>
      </c>
      <c r="C45" t="s">
        <v>66</v>
      </c>
      <c r="D45" t="s">
        <v>202</v>
      </c>
      <c r="E45">
        <v>52.453459647503998</v>
      </c>
      <c r="F45">
        <v>16.9528172584067</v>
      </c>
      <c r="G45">
        <v>7</v>
      </c>
      <c r="H45">
        <v>0.5</v>
      </c>
      <c r="I45">
        <v>-90</v>
      </c>
      <c r="J45">
        <v>-180</v>
      </c>
      <c r="K45">
        <v>1.1000000000000001</v>
      </c>
      <c r="L45">
        <v>3.54</v>
      </c>
      <c r="M45">
        <v>60</v>
      </c>
      <c r="N45" s="46">
        <f t="shared" si="1"/>
        <v>1.9675926159834489E-4</v>
      </c>
      <c r="O45" s="53" t="s">
        <v>218</v>
      </c>
    </row>
    <row r="46" spans="1:15" x14ac:dyDescent="0.3">
      <c r="A46" t="s">
        <v>203</v>
      </c>
      <c r="B46" s="39">
        <v>43034.675312500003</v>
      </c>
      <c r="C46" t="s">
        <v>66</v>
      </c>
      <c r="D46" t="s">
        <v>204</v>
      </c>
      <c r="E46">
        <v>52.451657202938598</v>
      </c>
      <c r="F46">
        <v>16.951701459390002</v>
      </c>
      <c r="G46">
        <v>6</v>
      </c>
      <c r="H46">
        <v>0.6</v>
      </c>
      <c r="I46">
        <v>-90</v>
      </c>
      <c r="J46">
        <v>-180</v>
      </c>
      <c r="K46">
        <v>0</v>
      </c>
      <c r="L46">
        <v>3.42</v>
      </c>
      <c r="M46">
        <v>-9</v>
      </c>
      <c r="N46" s="46">
        <f t="shared" si="1"/>
        <v>4.1666666948003694E-4</v>
      </c>
      <c r="O46" s="53" t="s">
        <v>219</v>
      </c>
    </row>
    <row r="47" spans="1:15" x14ac:dyDescent="0.3">
      <c r="A47" t="s">
        <v>205</v>
      </c>
      <c r="B47" s="39">
        <v>43034.677164351851</v>
      </c>
      <c r="C47" t="s">
        <v>66</v>
      </c>
      <c r="D47" t="s">
        <v>206</v>
      </c>
      <c r="E47">
        <v>52.452719357771798</v>
      </c>
      <c r="F47">
        <v>16.9500492185383</v>
      </c>
      <c r="G47">
        <v>8</v>
      </c>
      <c r="H47">
        <v>0.6</v>
      </c>
      <c r="I47">
        <v>-90</v>
      </c>
      <c r="J47">
        <v>-180</v>
      </c>
      <c r="K47">
        <v>1.1000000000000001</v>
      </c>
      <c r="L47">
        <v>3.42</v>
      </c>
      <c r="M47">
        <v>-9</v>
      </c>
      <c r="N47" s="46">
        <f t="shared" si="1"/>
        <v>1.8518518481869251E-3</v>
      </c>
    </row>
    <row r="48" spans="1:15" x14ac:dyDescent="0.3">
      <c r="A48" t="s">
        <v>207</v>
      </c>
      <c r="B48" s="39">
        <v>43034.677361111113</v>
      </c>
      <c r="C48" t="s">
        <v>66</v>
      </c>
      <c r="D48" t="s">
        <v>208</v>
      </c>
      <c r="E48">
        <v>52.452805188465398</v>
      </c>
      <c r="F48">
        <v>16.9507787794339</v>
      </c>
      <c r="G48">
        <v>7</v>
      </c>
      <c r="H48">
        <v>0.7</v>
      </c>
      <c r="I48">
        <v>-90</v>
      </c>
      <c r="J48">
        <v>-180</v>
      </c>
      <c r="K48">
        <v>1.1000000000000001</v>
      </c>
      <c r="L48">
        <v>3.56</v>
      </c>
      <c r="M48">
        <v>60</v>
      </c>
      <c r="N48" s="46">
        <f t="shared" si="1"/>
        <v>1.9675926159834489E-4</v>
      </c>
      <c r="O48" s="53" t="s">
        <v>218</v>
      </c>
    </row>
    <row r="49" spans="1:15" x14ac:dyDescent="0.3">
      <c r="A49" t="s">
        <v>209</v>
      </c>
      <c r="B49" s="39">
        <v>43034.677777777775</v>
      </c>
      <c r="C49" t="s">
        <v>66</v>
      </c>
      <c r="D49" t="s">
        <v>210</v>
      </c>
      <c r="E49">
        <v>52.452837374975502</v>
      </c>
      <c r="F49">
        <v>16.9524524779589</v>
      </c>
      <c r="G49">
        <v>7</v>
      </c>
      <c r="H49">
        <v>0.6</v>
      </c>
      <c r="I49">
        <v>-90</v>
      </c>
      <c r="J49">
        <v>-180</v>
      </c>
      <c r="K49">
        <v>1.1000000000000001</v>
      </c>
      <c r="L49">
        <v>3.42</v>
      </c>
      <c r="M49">
        <v>-9</v>
      </c>
      <c r="N49" s="46">
        <f t="shared" si="1"/>
        <v>4.1666666220407933E-4</v>
      </c>
      <c r="O49" s="53" t="s">
        <v>219</v>
      </c>
    </row>
    <row r="50" spans="1:15" x14ac:dyDescent="0.3">
      <c r="A50" t="s">
        <v>211</v>
      </c>
      <c r="B50" s="39">
        <v>43034.678182870368</v>
      </c>
      <c r="C50" t="s">
        <v>66</v>
      </c>
      <c r="D50" t="s">
        <v>212</v>
      </c>
      <c r="E50">
        <v>52.4543286832766</v>
      </c>
      <c r="F50">
        <v>16.953375157915001</v>
      </c>
      <c r="G50">
        <v>7</v>
      </c>
      <c r="H50">
        <v>0.5</v>
      </c>
      <c r="I50">
        <v>-90</v>
      </c>
      <c r="J50">
        <v>-180</v>
      </c>
      <c r="K50">
        <v>0</v>
      </c>
      <c r="L50">
        <v>3.44</v>
      </c>
      <c r="M50">
        <v>60</v>
      </c>
      <c r="N50" s="46">
        <f t="shared" si="1"/>
        <v>4.0509259270038456E-4</v>
      </c>
      <c r="O50" s="53" t="s">
        <v>219</v>
      </c>
    </row>
    <row r="51" spans="1:15" x14ac:dyDescent="0.3">
      <c r="A51" t="s">
        <v>213</v>
      </c>
      <c r="B51" s="39">
        <v>43034.6794212963</v>
      </c>
      <c r="C51" t="s">
        <v>66</v>
      </c>
      <c r="D51" t="s">
        <v>214</v>
      </c>
      <c r="E51">
        <v>52.454693463724396</v>
      </c>
      <c r="F51">
        <v>16.947924908871901</v>
      </c>
      <c r="G51">
        <v>6</v>
      </c>
      <c r="H51">
        <v>0.5</v>
      </c>
      <c r="I51">
        <v>-90</v>
      </c>
      <c r="J51">
        <v>-180</v>
      </c>
      <c r="K51">
        <v>1.1000000000000001</v>
      </c>
      <c r="L51">
        <v>3.44</v>
      </c>
      <c r="M51">
        <v>-9</v>
      </c>
      <c r="N51" s="46">
        <f t="shared" si="1"/>
        <v>1.2384259316604584E-3</v>
      </c>
    </row>
    <row r="52" spans="1:15" x14ac:dyDescent="0.3">
      <c r="A52" t="s">
        <v>215</v>
      </c>
      <c r="B52" s="39">
        <v>43034.679629629631</v>
      </c>
      <c r="C52" t="s">
        <v>66</v>
      </c>
      <c r="D52" t="s">
        <v>216</v>
      </c>
      <c r="E52">
        <v>52.454693463724396</v>
      </c>
      <c r="F52">
        <v>16.947881993525101</v>
      </c>
      <c r="G52">
        <v>6</v>
      </c>
      <c r="H52">
        <v>0.6</v>
      </c>
      <c r="I52">
        <v>-90</v>
      </c>
      <c r="J52">
        <v>-180</v>
      </c>
      <c r="K52">
        <v>1.1000000000000001</v>
      </c>
      <c r="L52">
        <v>3.44</v>
      </c>
      <c r="M52">
        <v>-9</v>
      </c>
      <c r="N52" s="46">
        <f t="shared" si="1"/>
        <v>2.0833333110203966E-4</v>
      </c>
      <c r="O52" s="53" t="s">
        <v>218</v>
      </c>
    </row>
  </sheetData>
  <conditionalFormatting sqref="N18:N25 N27:N52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{B4388010-9B82-489D-BA89-C1D63B59C963}</x14:id>
        </ext>
      </extLst>
    </cfRule>
  </conditionalFormatting>
  <conditionalFormatting sqref="N1:N25 N27:N104857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{C1EE7D97-B4E2-4115-8BE5-B48D58C5C42A}</x14:id>
        </ext>
      </extLst>
    </cfRule>
  </conditionalFormatting>
  <conditionalFormatting sqref="N1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{55B446F2-4F06-4EFB-839D-B3DC7F5C9151}</x14:id>
        </ext>
      </extLst>
    </cfRule>
  </conditionalFormatting>
  <conditionalFormatting sqref="N15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{8C0508C8-7BB8-499D-9590-B107B09A3771}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388010-9B82-489D-BA89-C1D63B59C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N18:N25 N27:N52</xm:sqref>
        </x14:conditionalFormatting>
        <x14:conditionalFormatting xmlns:xm="http://schemas.microsoft.com/office/excel/2006/main">
          <x14:cfRule type="dataBar" id="{C1EE7D97-B4E2-4115-8BE5-B48D58C5C4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N1:N25 N27:N1048576</xm:sqref>
        </x14:conditionalFormatting>
        <x14:conditionalFormatting xmlns:xm="http://schemas.microsoft.com/office/excel/2006/main">
          <x14:cfRule type="dataBar" id="{55B446F2-4F06-4EFB-839D-B3DC7F5C91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8C0508C8-7BB8-499D-9590-B107B09A3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3</vt:i4>
      </vt:variant>
    </vt:vector>
  </HeadingPairs>
  <TitlesOfParts>
    <vt:vector size="8" baseType="lpstr">
      <vt:lpstr>HowTo</vt:lpstr>
      <vt:lpstr>data</vt:lpstr>
      <vt:lpstr>grafieken</vt:lpstr>
      <vt:lpstr>Blad1</vt:lpstr>
      <vt:lpstr>2610 interesting poznan measure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2017-11-14T21:42:14Z</dcterms:modified>
</cp:coreProperties>
</file>