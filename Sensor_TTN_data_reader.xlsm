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  <sheet name="Blad1" sheetId="6" r:id="rId4"/>
    <sheet name="2610 interesting poznan measure" sheetId="7" r:id="rId5"/>
  </sheets>
  <definedNames>
    <definedName name="_xlnm._FilterDatabase" localSheetId="1" hidden="1">data!$A$1:$L$4395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N52" i="7" l="1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0" i="7"/>
  <c r="N19" i="7"/>
  <c r="N21" i="7"/>
  <c r="G25" i="6" l="1"/>
  <c r="G22" i="6"/>
  <c r="G19" i="6"/>
  <c r="G20" i="6" s="1"/>
  <c r="G18" i="6"/>
  <c r="G17" i="6"/>
  <c r="G13" i="6"/>
  <c r="G10" i="6"/>
  <c r="G11" i="6" s="1"/>
  <c r="G12" i="6" s="1"/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<sst xmlns="http://schemas.openxmlformats.org/spreadsheetml/2006/main" count="767" uniqueCount="486">
  <si>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</si>
  <si>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</si>
  <si>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</si>
  <si>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</si>
  <si>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</si>
  <si>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</si>
  <si>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</si>
  <si>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</si>
  <si>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</si>
  <si>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</si>
  <si>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</si>
  <si>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</si>
  <si>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</si>
  <si>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</si>
  <si>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</si>
  <si>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</si>
  <si>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</si>
  <si>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</si>
  <si>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</si>
  <si>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</si>
  <si>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</si>
  <si>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</si>
  <si>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</si>
  <si>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</si>
  <si>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</si>
  <si>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</si>
  <si>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</si>
  <si>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</si>
  <si>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</si>
  <si>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</si>
  <si>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</si>
  <si>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</si>
  <si>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</si>
  <si>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</si>
  <si>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</si>
  <si>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</si>
  <si>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</si>
  <si>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</si>
  <si>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</si>
  <si>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</si>
  <si>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</si>
  <si>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</si>
  <si>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</si>
  <si>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</si>
  <si>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</si>
  <si>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</si>
  <si>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</si>
  <si>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</si>
  <si>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</si>
  <si>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</si>
  <si>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</si>
  <si>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</si>
  <si>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</si>
  <si>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</si>
  <si>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</si>
  <si>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</si>
  <si>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</si>
  <si>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</si>
  <si>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</si>
  <si>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</si>
  <si>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</si>
  <si>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</si>
  <si>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</si>
  <si>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</si>
  <si>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ttn-account-v2.KoVQeKqz0T2BCYRnaYpsYd95WkMLFLrJ1WXfpYHazBo</t>
  </si>
  <si>
    <t>lora32u4-nummer-vijf</t>
  </si>
  <si>
    <t>lora32u4-nummer-vier</t>
  </si>
  <si>
    <t>lora32u4-nummer-twee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</si>
  <si>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</si>
  <si>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</si>
  <si>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</si>
  <si>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</si>
  <si>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</si>
  <si>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</si>
  <si>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</si>
  <si>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</si>
  <si>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</si>
  <si>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</si>
  <si>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</si>
  <si>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</si>
  <si>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</si>
  <si>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</si>
  <si>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</si>
  <si>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</si>
  <si>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</si>
  <si>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</si>
  <si>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</si>
  <si>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</si>
  <si>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</si>
  <si>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</si>
  <si>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</si>
  <si>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</si>
  <si>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</si>
  <si>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</si>
  <si>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</si>
  <si>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</si>
  <si>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</si>
  <si>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</si>
  <si>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</si>
  <si>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</si>
  <si>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</si>
  <si>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</si>
  <si>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</si>
  <si>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</si>
  <si>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</si>
  <si>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</si>
  <si>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lora32u4-nummer-een</t>
  </si>
  <si>
    <t>lora32u4-nummer-drie</t>
  </si>
  <si>
    <t>prevLat</t>
  </si>
  <si>
    <t>prevLon</t>
  </si>
  <si>
    <t>hDop</t>
  </si>
  <si>
    <t>Vbatt (volt)</t>
  </si>
  <si>
    <t>compass</t>
  </si>
  <si>
    <t>myBtn</t>
  </si>
  <si>
    <t>datasetType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</si>
  <si>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52.63269559339855,"gps_lng":4.738015218854855,"gps_prec":null,"gps_prevlat":-90,"gps_prevlng":-180,"myBtn":0,"myID":0,"payload":"ca da fa.83 5e 87.0 0.6/29 0 5b b6/0 0 0.0 0 0.0/0 0 0 ..","raw":"ytr6g16HAAAGKQBbtgAAAAAAAAAAAAAAAAAAAAAAAAAAAAAAAAAA","time":"2017-10-25T03:36:06.73029878Z","time_to_fix":null</t>
  </si>
  <si>
    <t>ca da fa.83 5e 87.0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</si>
  <si>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-6,"compass":123,"dataSetType":0,"device_id":"lora32u4-nummer-drie","gps_alt":0,"gps_hdop":0.6,"gps_lat":52.632727779908635,"gps_lng":4.738015218854855,"gps_prec":null,"gps_prevlat":-90,"gps_prevlng":-180,"myBtn":0,"myID":0,"payload":"ca da fd.83 5e 87.0 0.6/29 0 5e b2/0 0 0.0 0 0.0/0 0 0 ..","raw":"ytr9g16HAAAGKQBesgAAAAAAAAAAAAAAAAAAAAAAAAAAAAAAAAAA","time":"2017-10-25T03:40:03.405849358Z","time_to_fix":null</t>
  </si>
  <si>
    <t>ca da fd.83 5e 87.0 0.6/29 0 5e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</si>
  <si>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-9,"compass":123,"dataSetType":0,"device_id":"lora32u4-nummer-twee","gps_alt":1,"gps_hdop":0.6,"gps_lat":52.63269559339855,"gps_lng":4.738015218854855,"gps_prec":null,"gps_prevlat":-90,"gps_prevlng":-180,"myBtn":0,"myID":0,"payload":"ca da fa.83 5e 87.0 1.6/29 37 5b b7/0 0 0.0 0 0.0/0 0 0 ..","raw":"ytr6g16HAAEGKTdbtwAAAAAAAAAAAAAAAAAAAAAAAAAAAAAAAAAA","time":"2017-10-25T03:40:09.790928231Z","time_to_fix":null</t>
  </si>
  <si>
    <t>ca da fa.83 5e 87.0 1.6/29 37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</si>
  <si>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-8,"compass":123,"dataSetType":0,"device_id":"lora32u4-nummer-vier","gps_alt":0,"gps_hdop":0.6,"gps_lat":52.632620491541644,"gps_lng":4.738079591875021,"gps_prec":null,"gps_prevlat":-90,"gps_prevlng":-180,"myBtn":0,"myID":0,"payload":"ca da f3.83 5e 8a.0 0.6/29 0 5c b6/0 0 0.0 0 0.0/0 0 0 ..","raw":"ytrzg16KAAAGKQBctgAAAAAAAAAAAAAAAAAAAAAAAAAAAAAAAAAA","time":"2017-10-25T03:40:45.537099231Z","time_to_fix":null</t>
  </si>
  <si>
    <t>ca da f3.83 5e 8a.0 0.6/29 0 5c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</si>
  <si>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0,"gps_hdop":1,"gps_lat":52.63269559339855,"gps_lng":4.738015218854855,"gps_prec":null,"gps_prevlat":-90,"gps_prevlng":-180,"myBtn":0,"myID":0,"payload":"ca da fa.83 5e 87.0 0.a/29 0 5d ad/0 0 0.0 0 0.0/0 0 0 ..","raw":"ytr6g16HAAAKKQBdrQAAAAAAAAAAAAAAAAAAAAAAAAAAAAAAAAAA","time":"2017-10-25T03:44:06.610987985Z","time_to_fix":null</t>
  </si>
  <si>
    <t>ca da fa.83 5e 87.0 0.a/29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</si>
  <si>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52.63268486456184,"gps_lng":4.737972303508059,"gps_prec":null,"gps_prevlat":-90,"gps_prevlng":-180,"myBtn":0,"myID":0,"payload":"ca da f9.83 5e 85.0 0.6/29 0 5b b6/0 0 0.0 0 0.0/0 0 0 ..","raw":"ytr5g16FAAAGKQBbtgAAAAAAAAAAAAAAAAAAAAAAAAAAAAAAAAAA","time":"2017-10-25T03:44:12.837254282Z","time_to_fix":null</t>
  </si>
  <si>
    <t>ca da f9.83 5e 85.0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</si>
  <si>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0.7,"gps_lat":52.63263122037836,"gps_lng":4.738015218854855,"gps_prec":null,"gps_prevlat":-90,"gps_prevlng":-180,"myBtn":0,"myID":0,"payload":"ca da f4.83 5e 87.0 0.7/29 0 5c b8/0 0 0.0 0 0.0/0 0 0 ..","raw":"ytr0g16HAAAHKQBcuAAAAAAAAAAAAAAAAAAAAAAAAAAAAAAAAAAA","time":"2017-10-25T03:44:48.568655479Z","time_to_fix":null</t>
  </si>
  <si>
    <t>ca da f4.83 5e 87.0 0.7/29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</si>
  <si>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52.63271705107195,"gps_lng":4.738015218854855,"gps_prec":null,"gps_prevlat":-90,"gps_prevlng":-180,"myBtn":0,"myID":0,"payload":"ca da fc.83 5e 87.0 0.6/29 0 5d b1/0 0 0.0 0 0.0/0 0 0 ..","raw":"ytr8g16HAAAGKQBdsQAAAAAAAAAAAAAAAAAAAAAAAAAAAAAAAAAA","time":"2017-10-25T03:52:12.494737013Z","time_to_fix":null</t>
  </si>
  <si>
    <t>ca da fc.83 5e 87.0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</si>
  <si>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0.8,"gps_lat":52.63267413572515,"gps_lng":4.738036676528225,"gps_prec":null,"gps_prevlat":-90,"gps_prevlng":-180,"myBtn":0,"myID":0,"payload":"ca da f8.83 5e 88.0 0.8/29 37 5b b6/0 0 0.0 0 0.0/0 0 0 ..","raw":"ytr4g16IAAAIKTdbtgAAAAAAAAAAAAAAAAAAAAAAAAAAAAAAAAAA","time":"2017-10-25T03:52:18.937365831Z","time_to_fix":null</t>
  </si>
  <si>
    <t>ca da f8.83 5e 88.0 0.8/29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</si>
  <si>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vier","gps_alt":0,"gps_hdop":0.6,"gps_lat":52.63256684735816,"gps_lng":4.738015218854855,"gps_prec":null,"gps_prevlat":-90,"gps_prevlng":-180,"myBtn":0,"myID":0,"payload":"ca da ee.83 5e 87.0 0.6/29 0 5b ba/0 0 0.0 0 0.0/0 0 0 ..","raw":"ytrug16HAAAGKQBbugAAAAAAAAAAAAAAAAAAAAAAAAAAAAAAAAAA","time":"2017-10-25T03:52:54.632690805Z","time_to_fix":null</t>
  </si>
  <si>
    <t>ca da ee.83 5e 87.0 0.6/29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</si>
  <si>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52.61901632660724,"gps_lng":4.731663747529012,"gps_prec":null,"gps_prevlat":-90,"gps_prevlng":-180,"myBtn":0,"myID":0,"payload":"ca d5 ff.83 5d 5f.0 0.6/29 0 5d b1/0 0 0.0 0 0.0/0 0 0 ..","raw":"ytX/g11fAAAGKQBdsQAAAAAAAAAAAAAAAAAAAAAAAAAAAAAAAAAA","time":"2017-10-25T03:56:15.529597368Z","time_to_fix":null</t>
  </si>
  <si>
    <t>ca d5 ff.83 5d 5f.0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</si>
  <si>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52.33866109482415,"gps_lng":4.877232603861842,"gps_prec":null,"gps_prevlat":-90,"gps_prevlng":-180,"myBtn":0,"myID":0,"payload":"ca 6f ec.83 77 df.0 0.7/29 0 5d b1/0 0 0.0 0 0.0/0 0 0 ..","raw":"ym/sg3ffAAAHKQBdsQAAAAAAAAAAAAAAAAAAAAAAAAAAAAAAAAAA","time":"2017-10-25T04:20:33.890928301Z","time_to_fix":null</t>
  </si>
  <si>
    <t>ca 6f ec.83 77 df.0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</si>
  <si>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0.6,"gps_lat":52.33861817947735,"gps_lng":4.8798289823429855,"gps_prec":null,"gps_prevlat":-90,"gps_prevlng":-180,"myBtn":0,"myID":0,"payload":"ca 6f e8.83 78 58.0 0.6/29 37 5b b6/0 0 0.0 0 0.0/0 0 0 ..","raw":"ym/og3hYAAAGKTdbtgAAAAAAAAAAAAAAAAAAAAAAAAAAAAAAAAAA","time":"2017-10-25T04:20:40.439926487Z","time_to_fix":null</t>
  </si>
  <si>
    <t>ca 6f e8.83 78 58.0 0.6/29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</si>
  <si>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-9,"compass":123,"dataSetType":0,"device_id":"lora32u4-nummer-twee","gps_alt":0,"gps_hdop":0.6,"gps_lat":52.35014095009214,"gps_lng":4.964801368999531,"gps_prec":null,"gps_prevlat":-90,"gps_prevlng":-180,"myBtn":0,"myID":0,"payload":"ca 74 1a.83 87 d0.0 0.6/29 0 5b b3/0 0 0.0 0 0.0/0 0 0 ..","raw":"ynQag4fQAAAGKQBbswAAAAAAAAAAAAAAAAAAAAAAAAAAAAAAAAAA","time":"2017-10-25T04:24:43.322889982Z","time_to_fix":null</t>
  </si>
  <si>
    <t>ca 74 1a.83 87 d0.0 0.6/29 0 5b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</si>
  <si>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-9,"compass":123,"dataSetType":0,"device_id":"lora32u4-nummer-twee","gps_alt":0,"gps_hdop":0.7,"gps_lat":52.23111523575278,"gps_lng":6.165851722112421,"gps_prec":null,"gps_prevlat":-90,"gps_prevlng":-180,"myBtn":0,"myID":0,"payload":"ca 48 c4.84 62 75.0 0.7/29 0 5b b2/0 0 0.0 0 0.0/0 0 0 ..","raw":"ykjEhGJ1AAAHKQBbsgAAAAAAAAAAAAAAAAAAAAAAAAAAAAAAAAAA","time":"2017-10-25T05:13:19.852405609Z","time_to_fix":null</t>
  </si>
  <si>
    <t>ca 48 c4.84 62 75.0 0.7/29 0 5b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</si>
  <si>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0.6,"gps_lat":52.28464140204437,"gps_lng":6.746560737285677,"gps_prec":null,"gps_prevlat":-90,"gps_prevlng":-180,"myBtn":0,"myID":0,"payload":"ca 5c 41.84 cc 2c.0 0.6/29 0 5c b8/0 0 0.0 0 0.0/0 0 0 ..","raw":"ylxBhMwsAAAGKQBcuAAAAAAAAAAAAAAAAAAAAAAAAAAAAAAAAAAA","time":"2017-10-25T05:34:10.572345103Z","time_to_fix":null</t>
  </si>
  <si>
    <t>ca 5c 41.84 cc 2c.0 0.6/29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</si>
  <si>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vier","gps_alt":7,"gps_hdop":0.5,"gps_lat":52.45602383947514,"gps_lng":16.954619702972167,"gps_prec":null,"gps_prevlat":-90,"gps_prevlng":-180,"myBtn":0,"myID":0,"payload":"ca 9a a7.8c e 7e.0 7.5/29 0 5d b1/0 0 0.0 0 0.0/0 0 0 ..","raw":"ypqnjA5+AAcFKQBdsQAAAAAAAAAAAAAAAAAAAAAAAAAAAAAAAAAA","time":"2017-10-26T16:01:09.839871376Z","time_to_fix":null</t>
  </si>
  <si>
    <t>ca 9a a7.8c e 7e.0 7.5/29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</si>
  <si>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-9,"compass":123,"dataSetType":0,"device_id":"lora32u4-nummer-drie","gps_alt":67,"gps_hdop":20.2,"gps_lat":-5.36441834242396e-06,"gps_lng":-1.072883668484792e-05,"gps_prec":null,"gps_prevlat":-90,"gps_prevlng":-180,"myBtn":0,"myID":0,"payload":"7f ff ff.7f ff ff.0 43.ca/29 0 5b ae/0 0 0.0 0 0.0/0 0 0 ..","raw":"f///f///AEPKKQBbrgAAAAAAAAAAAAAAAAAAAAAAAAAAAAAAAAAA","time":"2017-10-26T16:02:24.53553263Z","time_to_fix":null</t>
  </si>
  <si>
    <t>7f ff ff.7f ff ff.0 43.ca/29 0 5b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</si>
  <si>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0.04,"arduino_temp":59,"compass":123,"dataSetType":0,"device_id":"lora32u4-nummer-twee","gps_alt":67,"gps_hdop":20.2,"gps_lat":-5.36441834242396e-06,"gps_lng":-1.072883668484792e-05,"gps_prec":null,"gps_prevlat":-90,"gps_prevlng":-180,"myBtn":0,"myID":0,"payload":"7f ff ff.7f ff ff.0 43.ca/29 37 9f 2/0 0 0.0 0 0.0/0 0 0 ..","raw":"f///f///AEPKKTefAgAAAAAAAAAAAAAAAAAAAAAAAAAAAAAAAAAA","time":"2017-10-26T16:02:24.924513557Z","time_to_fix":null</t>
  </si>
  <si>
    <t>7f ff ff.7f ff ff.0 43.ca/29 37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</si>
  <si>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0.04,"arduino_temp":59,"compass":123,"dataSetType":0,"device_id":"lora32u4-nummer-twee","gps_alt":11,"gps_hdop":2.6,"gps_lat":52.45701089245145,"gps_lng":16.955306348520907,"gps_prec":null,"gps_prevlat":-90,"gps_prevlng":-180,"myBtn":0,"myID":0,"payload":"ca 9b 3.8c e 9e.0 b.1a/29 0 9f 2/0 0 0.0 0 0.0/0 0 0 ..","raw":"ypsDjA6eAAsaKQCfAgAAAAAAAAAAAAAAAAAAAAAAAAAAAAAAAAAA","time":"2017-10-26T16:02:42.331329854Z","time_to_fix":null</t>
  </si>
  <si>
    <t>ca 9b 3.8c e 9e.0 b.1a/29 0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</si>
  <si>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0.6,"gps_lat":52.45656028131009,"gps_lng":16.95526343317411,"gps_prec":null,"gps_prevlat":-90,"gps_prevlng":-180,"myBtn":0,"myID":0,"payload":"ca 9a d9.8c e 9c.0 7.6/29 37 5b ac/0 0 0.0 0 0.0/0 0 0 ..","raw":"yprZjA6cAAcGKTdbrAAAAAAAAAAAAAAAAAAAAAAAAAAAAAAAAAAA","time":"2017-10-26T16:04:10.454102988Z","time_to_fix":null</t>
  </si>
  <si>
    <t>ca 9a d9.8c e 9c.0 7.6/29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</si>
  <si>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3.52,"arduino_temp":60,"compass":123,"dataSetType":0,"device_id":"lora32u4-nummer-vier","gps_alt":7,"gps_hdop":0.6,"gps_lat":52.4566139254936,"gps_lng":16.955220517827314,"gps_prec":null,"gps_prevlat":-90,"gps_prevlng":-180,"myBtn":0,"myID":0,"payload":"ca 9a de.8c e 9a.0 7.6/29 37 a0 b0/0 0 0.0 0 0.0/0 0 0 ..","raw":"yprejA6aAAcGKTegsAAAAAAAAAAAAAAAAAAAAAAAAAAAAAAAAAAA","time":"2017-10-26T16:04:28.036795161Z","time_to_fix":null</t>
  </si>
  <si>
    <t>ca 9a de.8c e 9a.0 7.6/29 37 a0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</si>
  <si>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3.48,"arduino_temp":60,"compass":123,"dataSetType":0,"device_id":"lora32u4-nummer-vier","gps_alt":6,"gps_hdop":0.6,"gps_lat":52.45658173898349,"gps_lng":16.955241975500712,"gps_prec":null,"gps_prevlat":-90,"gps_prevlng":-180,"myBtn":0,"myID":0,"payload":"ca 9a db.8c e 9b.0 6.6/29 37 a0 ae/0 0 0.0 0 0.0/0 0 0 ..","raw":"yprbjA6bAAYGKTegrgAAAAAAAAAAAAAAAAAAAAAAAAAAAAAAAAAA","time":"2017-10-26T16:04:45.640839284Z","time_to_fix":null</t>
  </si>
  <si>
    <t>ca 9a db.8c e 9b.0 6.6/29 37 a0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</si>
  <si>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0.5,"gps_lat":52.45669975618719,"gps_lng":16.9553707215411,"gps_prec":null,"gps_prevlat":-90,"gps_prevlng":-180,"myBtn":0,"myID":0,"payload":"ca 9a e6.8c e a1.0 6.5/29 37 a0 ac/0 0 0.0 0 0.0/0 0 0 ..","raw":"yprmjA6hAAYFKTegrAAAAAAAAAAAAAAAAAAAAAAAAAAAAAAAAAAA","time":"2017-10-26T16:05:03.565639721Z","time_to_fix":null</t>
  </si>
  <si>
    <t>ca 9a e6.8c e a1.0 6.5/29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</si>
  <si>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52.45672121386059,"gps_lng":16.95528489084751,"gps_prec":null,"gps_prevlat":-90,"gps_prevlng":-180,"myBtn":0,"myID":0,"payload":"ca 9a e8.8c e 9d.0 6.5/29 37 a0 b2/0 0 0.0 0 0.0/0 0 0 ..","raw":"yprojA6dAAYFKTegsgAAAAAAAAAAAAAAAAAAAAAAAAAAAAAAAAAA","time":"2017-10-26T16:05:21.178419328Z","time_to_fix":null</t>
  </si>
  <si>
    <t>ca 9a e8.8c e 9d.0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</si>
  <si>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0.6,"gps_lat":52.45672121386059,"gps_lng":16.95528489084751,"gps_prec":null,"gps_prevlat":-90,"gps_prevlng":-180,"myBtn":0,"myID":0,"payload":"ca 9a e8.8c e 9d.0 6.6/29 0 5b ac/0 0 0.0 0 0.0/0 0 0 ..","raw":"yprojA6dAAYGKQBbrAAAAAAAAAAAAAAAAAAAAAAAAAAAAAAAAAAA","time":"2017-10-26T16:05:39.106880405Z","time_to_fix":null</t>
  </si>
  <si>
    <t>ca 9a e8.8c e 9d.0 6.6/29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</si>
  <si>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0.5,"gps_lat":52.45672121386059,"gps_lng":16.95513468713372,"gps_prec":null,"gps_prevlat":-90,"gps_prevlng":-180,"myBtn":0,"myID":0,"payload":"ca 9a e8.8c e 96.0 6.5/29 0 5b ac/0 0 0.0 0 0.0/0 0 0 ..","raw":"yprojA6WAAYFKQBbrAAAAAAAAAAAAAAAAAAAAAAAAAAAAAAAAAAA","time":"2017-10-26T16:05:56.716739037Z","time_to_fix":null</t>
  </si>
  <si>
    <t>ca 9a e8.8c e 96.0 6.5/29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</si>
  <si>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ac/0 0 0.0 0 0.0/0 0 0 ..","raw":"yprojA6VAAYGKTegrAAAAAAAAAAAAAAAAAAAAAAAAAAAAAAAAAAA","time":"2017-10-26T16:06:14.637565155Z","time_to_fix":null</t>
  </si>
  <si>
    <t>ca 9a e8.8c e 95.0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</si>
  <si>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b1/0 0 0.0 0 0.0/0 0 0 ..","raw":"yprojA6VAAYGKTegsQAAAAAAAAAAAAAAAAAAAAAAAAAAAAAAAAAA","time":"2017-10-26T16:06:32.24678944Z","time_to_fix":null</t>
  </si>
  <si>
    <t>ca 9a e8.8c e 95.0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</si>
  <si>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16.955091771786925,"gps_prec":null,"gps_prevlat":-90,"gps_prevlng":-180,"myBtn":0,"myID":0,"payload":"ca 9a e8.8c e 94.0 6.6/29 37 a0 ac/0 0 0.0 0 0.0/0 0 0 ..","raw":"yprojA6UAAYGKTegrAAAAAAAAAAAAAAAAAAAAAAAAAAAAAAAAAAA","time":"2017-10-26T16:06:50.175920931Z","time_to_fix":null</t>
  </si>
  <si>
    <t>ca 9a e8.8c e 94.0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</si>
  <si>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52.45672121386059,"gps_lng":16.955091771786925,"gps_prec":null,"gps_prevlat":-90,"gps_prevlng":-180,"myBtn":0,"myID":0,"payload":"ca 9a e8.8c e 94.0 7.7/29 37 a0 b2/0 0 0.0 0 0.0/0 0 0 ..","raw":"yprojA6UAAcHKTegsgAAAAAAAAAAAAAAAAAAAAAAAAAAAAAAAAAA","time":"2017-10-26T16:07:07.775345581Z","time_to_fix":null</t>
  </si>
  <si>
    <t>ca 9a e8.8c e 94.0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</si>
  <si>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7,"gps_hdop":0.6,"gps_lat":52.45672121386059,"gps_lng":16.955070314113527,"gps_prec":null,"gps_prevlat":-90,"gps_prevlng":-180,"myBtn":0,"myID":0,"payload":"ca 9a e8.8c e 93.0 7.6/29 37 a0 ac/0 0 0.0 0 0.0/0 0 0 ..","raw":"yprojA6TAAcGKTegrAAAAAAAAAAAAAAAAAAAAAAAAAAAAAAAAAAA","time":"2017-10-26T16:07:25.700227224Z","time_to_fix":null</t>
  </si>
  <si>
    <t>ca 9a e8.8c e 93.0 7.6/29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</si>
  <si>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3.44,"arduino_temp":-9,"compass":123,"dataSetType":0,"device_id":"lora32u4-nummer-vier","gps_alt":6,"gps_hdop":0.6,"gps_lat":52.456710485023876,"gps_lng":16.955091771786925,"gps_prec":null,"gps_prevlat":-90,"gps_prevlng":-180,"myBtn":0,"myID":0,"payload":"ca 9a e7.8c e 94.0 6.6/29 55 5b ac/0 0 0.0 0 0.0/0 0 0 ..","raw":"yprnjA6UAAYGKVVbrAAAAAAAAAAAAAAAAAAAAAAAAAAAAAAAAAAA","time":"2017-10-26T16:07:43.314582175Z","time_to_fix":null</t>
  </si>
  <si>
    <t>ca 9a e7.8c e 94.0 6.6/29 55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</si>
  <si>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52.45669975618719,"gps_lng":16.95504885644013,"gps_prec":null,"gps_prevlat":-90,"gps_prevlng":-180,"myBtn":0,"myID":0,"payload":"ca 9a e6.8c e 92.0 6.5/29 37 5b ac/0 0 0.0 0 0.0/0 0 0 ..","raw":"yprmjA6SAAYFKTdbrAAAAAAAAAAAAAAAAAAAAAAAAAAAAAAAAAAA","time":"2017-10-26T16:08:18.848705617Z","time_to_fix":null</t>
  </si>
  <si>
    <t>ca 9a e6.8c e 92.0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</si>
  <si>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52.45667829851379,"gps_lng":16.95528489084751,"gps_prec":null,"gps_prevlat":-90,"gps_prevlng":-180,"myBtn":0,"myID":0,"payload":"ca 9a e4.8c e 9d.0 6.6/29 37 a0 b1/0 0 0.0 0 0.0/0 0 0 ..","raw":"yprkjA6dAAYGKTegsQAAAAAAAAAAAAAAAAAAAAAAAAAAAAAAAAAA","time":"2017-10-26T16:08:54.39195953Z","time_to_fix":null</t>
  </si>
  <si>
    <t>ca 9a e4.8c e 9d.0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</si>
  <si>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6,"gps_hdop":0.6,"gps_lat":52.45621695853572,"gps_lng":16.954748449012556,"gps_prec":null,"gps_prevlat":-90,"gps_prevlng":-180,"myBtn":0,"myID":0,"payload":"ca 9a b9.8c e 84.0 6.6/29 37 5b ab/0 0 0.0 0 0.0/0 0 0 ..","raw":"ypq5jA6EAAYGKTdbqwAAAAAAAAAAAAAAAAAAAAAAAAAAAAAAAAAA","time":"2017-10-26T16:09:11.997131271Z","time_to_fix":null</t>
  </si>
  <si>
    <t>ca 9a b9.8c e 84.0 6.6/29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</si>
  <si>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0.7,"gps_lat":52.455229905559406,"gps_lng":16.953847226729835,"gps_prec":null,"gps_prevlat":-90,"gps_prevlng":-180,"myBtn":0,"myID":0,"payload":"ca 9a 5d.8c e 5a.0 6.7/29 0 5b ab/0 0 0.0 0 0.0/0 0 0 ..","raw":"yppdjA5aAAYHKQBbqwAAAAAAAAAAAAAAAAAAAAAAAAAAAAAAAAAA","time":"2017-10-26T16:09:29.925567641Z","time_to_fix":null</t>
  </si>
  <si>
    <t>ca 9a 5d.8c e 5a.0 6.7/29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</si>
  <si>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52.4541784795629,"gps_lng":16.953246411874687,"gps_prec":null,"gps_prevlat":-90,"gps_prevlng":-180,"myBtn":0,"myID":0,"payload":"ca 99 fb.8c e 3e.0 6.6/29 37 5b ac/0 0 0.0 0 0.0/0 0 0 ..","raw":"ypn7jA4+AAYGKTdbrAAAAAAAAAAAAAAAAAAAAAAAAAAAAAAAAAAA","time":"2017-10-26T16:09:47.541358309Z","time_to_fix":null</t>
  </si>
  <si>
    <t>ca 99 fb.8c e 3e.0 6.6/29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</si>
  <si>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52.45407119119591,"gps_lng":16.95470553366576,"gps_prec":null,"gps_prevlat":-90,"gps_prevlng":-180,"myBtn":0,"myID":0,"payload":"ca 99 f1.8c e 82.0 6.5/29 37 a0 b2/0 0 0.0 0 0.0/0 0 0 ..","raw":"ypnxjA6CAAYFKTegsgAAAAAAAAAAAAAAAAAAAAAAAAAAAAAAAAAA","time":"2017-10-26T16:10:05.448723192Z","time_to_fix":null</t>
  </si>
  <si>
    <t>ca 99 f1.8c e 82.0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</si>
  <si>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52.454039004685825,"gps_lng":16.955435094561295,"gps_prec":null,"gps_prevlat":-90,"gps_prevlng":-180,"myBtn":0,"myID":0,"payload":"ca 99 ee.8c e a4.0 7.6/29 37 5b ab/0 0 0.0 0 0.0/0 0 0 ..","raw":"ypnujA6kAAcGKTdbqwAAAAAAAAAAAAAAAAAAAAAAAAAAAAAAAAAA","time":"2017-10-26T16:10:23.070267776Z","time_to_fix":null</t>
  </si>
  <si>
    <t>ca 99 ee.8c e a4.0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</si>
  <si>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0.6,"gps_lat":52.45402827584911,"gps_lng":16.956722554965182,"gps_prec":null,"gps_prevlat":-90,"gps_prevlng":-180,"myBtn":0,"myID":0,"payload":"ca 99 ed.8c e e0.0 7.6/29 37 a0 b2/0 0 0.0 0 0.0/0 0 0 ..","raw":"ypntjA7gAAcGKTegsgAAAAAAAAAAAAAAAAAAAAAAAAAAAAAAAAAA","time":"2017-10-26T16:10:40.670639666Z","time_to_fix":null</t>
  </si>
  <si>
    <t>ca 99 ed.8c e e0.0 7.6/29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</si>
  <si>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7,"gps_hdop":0.7,"gps_lat":52.45404973352251,"gps_lng":16.95528489084751,"gps_prec":null,"gps_prevlat":-90,"gps_prevlng":-180,"myBtn":0,"myID":0,"payload":"ca 99 ef.8c e 9d.0 7.7/29 0 5b ab/0 0 0.0 0 0.0/0 0 0 ..","raw":"ypnvjA6dAAcHKQBbqwAAAAAAAAAAAAAAAAAAAAAAAAAAAAAAAAAA","time":"2017-10-26T16:11:16.205352076Z","time_to_fix":null</t>
  </si>
  <si>
    <t>ca 99 ef.8c e 9d.0 7.7/29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</si>
  <si>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0.5,"gps_lat":52.4541355642161,"gps_lng":16.953396615588474,"gps_prec":null,"gps_prevlat":-90,"gps_prevlng":-180,"myBtn":0,"myID":0,"payload":"ca 99 f7.8c e 45.0 7.5/29 37 5b ac/0 0 0.0 0 0.0/0 0 0 ..","raw":"ypn3jA5FAAcFKTdbrAAAAAAAAAAAAAAAAAAAAAAAAAAAAAAAAAAA","time":"2017-10-26T16:11:34.135281714Z","time_to_fix":null</t>
  </si>
  <si>
    <t>ca 99 f7.8c e 45.0 7.5/29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</si>
  <si>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7,"gps_hdop":0.5,"gps_lat":52.453459647504076,"gps_lng":16.952817258406725,"gps_prec":null,"gps_prevlat":-90,"gps_prevlng":-180,"myBtn":0,"myID":0,"payload":"ca 99 b8.8c e 2a.0 7.5/29 37 a0 b1/0 0 0.0 0 0.0/0 0 0 ..","raw":"ypm4jA4qAAcFKTegsQAAAAAAAAAAAAAAAAAAAAAAAAAAAAAAAAAA","time":"2017-10-26T16:11:51.745404831Z","time_to_fix":null</t>
  </si>
  <si>
    <t>ca 99 b8.8c e 2a.0 7.5/29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</si>
  <si>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0.6,"gps_lat":52.451657202938634,"gps_lng":16.951701459390023,"gps_prec":null,"gps_prevlat":-90,"gps_prevlng":-180,"myBtn":0,"myID":0,"payload":"ca 99 10.8c d f6.0 6.6/29 0 5b ab/0 0 0.0 0 0.0/0 0 0 ..","raw":"ypkQjA32AAYGKQBbqwAAAAAAAAAAAAAAAAAAAAAAAAAAAAAAAAAA","time":"2017-10-26T16:12:27.282567811Z","time_to_fix":null</t>
  </si>
  <si>
    <t>ca 99 10.8c d f6.0 6.6/29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</si>
  <si>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8,"gps_hdop":0.6,"gps_lat":52.45271935777183,"gps_lng":16.950049218538368,"gps_prec":null,"gps_prevlat":-90,"gps_prevlng":-180,"myBtn":0,"myID":0,"payload":"ca 99 73.8c d a9.0 8.6/29 37 5b ab/0 0 0.0 0 0.0/0 0 0 ..","raw":"yplzjA2pAAgGKTdbqwAAAAAAAAAAAAAAAAAAAAAAAAAAAAAAAAAA","time":"2017-10-26T16:15:07.021464818Z","time_to_fix":null</t>
  </si>
  <si>
    <t>ca 99 73.8c d a9.0 8.6/29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</si>
  <si>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52.45280518846542,"gps_lng":16.950778779433904,"gps_prec":null,"gps_prevlat":-90,"gps_prevlng":-180,"myBtn":0,"myID":0,"payload":"ca 99 7b.8c d cb.0 7.7/29 37 a0 b2/0 0 0.0 0 0.0/0 0 0 ..","raw":"ypl7jA3LAAcHKTegsgAAAAAAAAAAAAAAAAAAAAAAAAAAAAAAAAAA","time":"2017-10-26T16:15:24.946091409Z","time_to_fix":null</t>
  </si>
  <si>
    <t>ca 99 7b.8c d cb.0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</si>
  <si>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52.45283737497553,"gps_lng":16.952452477958957,"gps_prec":null,"gps_prevlat":-90,"gps_prevlng":-180,"myBtn":0,"myID":0,"payload":"ca 99 7e.8c e 19.0 7.6/29 37 5b ab/0 0 0.0 0 0.0/0 0 0 ..","raw":"ypl+jA4ZAAcGKTdbqwAAAAAAAAAAAAAAAAAAAAAAAAAAAAAAAAAA","time":"2017-10-26T16:16:00.489818609Z","time_to_fix":null</t>
  </si>
  <si>
    <t>ca 99 7e.8c e 19.0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</si>
  <si>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60,"compass":123,"dataSetType":0,"device_id":"lora32u4-nummer-vier","gps_alt":7,"gps_hdop":0.5,"gps_lat":52.454328683276685,"gps_lng":16.953375157915076,"gps_prec":null,"gps_prevlat":-90,"gps_prevlng":-180,"myBtn":0,"myID":0,"payload":"ca 9a 9.8c e 44.0 7.5/29 0 a0 ac/0 0 0.0 0 0.0/0 0 0 ..","raw":"ypoJjA5EAAcFKQCgrAAAAAAAAAAAAAAAAAAAAAAAAAAAAAAAAAAA","time":"2017-10-26T16:16:35.789833704Z","time_to_fix":null</t>
  </si>
  <si>
    <t>ca 9a 9.8c e 44.0 7.5/29 0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</si>
  <si>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52.45469346372445,"gps_lng":16.947924908871954,"gps_prec":null,"gps_prevlat":-90,"gps_prevlng":-180,"myBtn":0,"myID":0,"payload":"ca 9a 2b.8c d 46.0 6.5/29 37 5b ac/0 0 0.0 0 0.0/0 0 0 ..","raw":"yporjA1GAAYFKTdbrAAAAAAAAAAAAAAAAAAAAAAAAAAAAAAAAAAA","time":"2017-10-26T16:18:22.301857731Z","time_to_fix":null</t>
  </si>
  <si>
    <t>ca 9a 2b.8c d 46.0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</si>
  <si>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52.45469346372445,"gps_lng":16.947881993525158,"gps_prec":null,"gps_prevlat":-90,"gps_prevlng":-180,"myBtn":0,"myID":0,"payload":"ca 9a 2b.8c d 44.0 6.6/29 37 5b ac/0 0 0.0 0 0.0/0 0 0 ..","raw":"yporjA1EAAYGKTdbrAAAAAAAAAAAAAAAAAAAAAAAAAAAAAAAAAAA","time":"2017-10-26T16:18:40.238069179Z","time_to_fix":null</t>
  </si>
  <si>
    <t>ca 9a 2b.8c d 44.0 6.6/29 37 5b ac/0 0 0.0 0 0.0/0 0 0 ..</t>
  </si>
  <si>
    <t>x</t>
  </si>
  <si>
    <t>boot to first beeb</t>
  </si>
  <si>
    <t>2x boot to first beeb</t>
  </si>
  <si>
    <t>prevAlt</t>
  </si>
  <si>
    <t>prevHdop</t>
  </si>
  <si>
    <t>r ID</t>
  </si>
  <si>
    <t>r SSN</t>
  </si>
  <si>
    <t>r Lat</t>
  </si>
  <si>
    <t>r Lon</t>
  </si>
  <si>
    <t>r compass</t>
  </si>
  <si>
    <t>r btn</t>
  </si>
  <si>
    <t>r Dist</t>
  </si>
  <si>
    <t>r HitMe</t>
  </si>
  <si>
    <t>Counter</t>
  </si>
  <si>
    <t>myGameID</t>
  </si>
  <si>
    <t>]</t>
  </si>
  <si>
    <t>banaan1</t>
  </si>
  <si>
    <t>ca dd 0c 83 60 a9 00 07 19 ca dd 11 83 60 aa 00 03 13 00 5d d5 4b 81 00 02 00 00 00 00 00 00 00 00 00 00 00 00 00</t>
  </si>
  <si>
    <t>{"arduino_VCC":0,"arduino_Vbat":4.18,"arduino_tempCPU":-7,"compass":225,"counter":332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4c 00 00 00 00 00 00 00 00 00 00 00 00 00","raw":"f///f///AqbKf///f///AqbKAF3RS1EBTAAAAAAAAAAAAAAAAAA=","remoteID":0,"remote_Btn":0,"remote_DidHitMe":0,"remote_compass":0,"remote_distance":0,"remote_lat":-90,"remote_lng":-180,"remote_radioSSN":0,"time":"2017-12-02T13:53:19.949487188Z"</t>
  </si>
  <si>
    <t>7f ff ff 7f ff ff 02 a6 ca 7f ff ff 7f ff ff 02 a6 ca 00 5d d1 4b 51 01 4c 00 00 00 00 00 00 00 00 00 00 00 00 00</t>
  </si>
  <si>
    <t>{"arduino_VCC":1.1,"arduino_Vbat":4.02,"arduino_tempCPU":-9,"compass":225,"counter":5,"dataSetType":1,"device_id":"lora32u4-nummer-een","gps_alt":1,"gps_hdop":1,"gps_lat":52.63845697870593,"gps_lng":4.749623820163208,"gps_prev_alt":0,"gps_prev_hdop":1.1,"gps_prev_lat":52.63839260568574,"gps_prev_lng":4.749752566203597,"myBtn":0,"myID":1,"payload":"ca dd 13 83 60 a4 00 01 0a ca dd 0d 83 60 aa 00 00 0b 37 5b c9 4b 11 00 05 00 00 00 00 00 00 00 00 00 00 00 00 00","raw":"yt0Tg2CkAAEKyt0Ng2CqAAALN1vJSxEABQAAAAAAAAAAAAAAAAA=","remoteID":0,"remote_Btn":0,"remote_DidHitMe":0,"remote_compass":0,"remote_distance":0,"remote_lat":-90,"remote_lng":-180,"remote_radioSSN":0,"time":"2017-12-02T13:54:43.588974873Z"</t>
  </si>
  <si>
    <t>ca dd 13 83 60 a4 00 01 0a ca dd 0d 83 60 aa 00 00 0b 37 5b c9 4b 11 00 05 00 00 00 00 00 00 00 00 00 00 00 00 00</t>
  </si>
  <si>
    <t>{"arduino_VCC":0,"arduino_Vbat":3.78,"arduino_tempCPU":-8,"compass":225,"counter":370,"dataSetType":1,"device_id":"lora32u4-nummer-drie","gps_alt":3,"gps_hdop":1.1,"gps_lat":52.63840333452245,"gps_lng":4.749752566203597,"gps_prev_alt":6,"gps_prev_hdop":1.2,"gps_prev_lat":52.63856426707292,"gps_prev_lng":4.749537989469616,"myBtn":0,"myID":3,"payload":"ca dd 0e 83 60 aa 00 03 0b ca dd 1d 83 60 a0 00 06 0c 00 5c bd 4b 31 01 72 00 00 00 00 00 00 00 00 00 00 00 00 00","raw":"yt0Og2CqAAMLyt0dg2CgAAYMAFy9SzEBcgAAAAAAAAAAAAAAAAA=","remoteID":0,"remote_Btn":0,"remote_DidHitMe":0,"remote_compass":0,"remote_distance":0,"remote_lat":-90,"remote_lng":-180,"remote_radioSSN":0,"time":"2017-12-02T13:54:50.442096759Z"</t>
  </si>
  <si>
    <t>ca dd 0e 83 60 aa 00 03 0b ca dd 1d 83 60 a0 00 06 0c 00 5c bd 4b 31 01 72 00 00 00 00 00 00 00 00 00 00 00 00 00</t>
  </si>
  <si>
    <t>{"arduino_VCC":0,"arduino_Vbat":4.18,"arduino_tempCPU":-7,"compass":225,"counter":333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4d 00 00 00 00 00 00 00 00 00 00 00 00 00","raw":"f///f///AqbKf///f///AqbKAF3RS1EBTQAAAAAAAAAAAAAAAAA=","remoteID":0,"remote_Btn":0,"remote_DidHitMe":0,"remote_compass":0,"remote_distance":0,"remote_lat":-90,"remote_lng":-180,"remote_radioSSN":0,"time":"2017-12-02T13:57:28.640431706Z"</t>
  </si>
  <si>
    <t>7f ff ff 7f ff ff 02 a6 ca 7f ff ff 7f ff ff 02 a6 ca 00 5d d1 4b 51 01 4d 00 00 00 00 00 00 00 00 00 00 00 00 00</t>
  </si>
  <si>
    <t>{"arduino_VCC":0,"arduino_Vbat":4.12,"arduino_tempCPU":-9,"compass":225,"counter":0,"dataSetType":1,"device_id":"banaan1","gps_alt":10,"gps_hdop":2.1,"gps_lat":52.63837114801234,"gps_lng":4.74981693922382,"gps_prev_alt":0,"gps_prev_hdop":0,"gps_prev_lat":-90,"gps_prev_lng":-180,"myBtn":0,"myID":8,"payload":"ca dd 0b 83 60 ad 00 0a 15 00 00 00 00 00 00 00 00 00 00 5b ce 4b 81 00 00 00 00 00 00 00 00 00 00 00 00 00 00 00","raw":"yt0Lg2CtAAoVAAAAAAAAAAAAAFvOS4EAAAAAAAAAAAAAAAAAAAA=","remoteID":0,"remote_Btn":0,"remote_DidHitMe":0,"remote_compass":0,"remote_distance":0,"remote_lat":-90,"remote_lng":-180,"remote_radioSSN":0,"time":"2017-12-02T13:57:47.566638285Z"</t>
  </si>
  <si>
    <t>ca dd 0b 83 60 ad 00 0a 15 00 00 00 00 00 00 00 00 00 00 5b ce 4b 81 00 00 00 00 00 00 00 00 00 00 00 00 00 00 00</t>
  </si>
  <si>
    <t>{"arduino_VCC":1.1,"arduino_Vbat":3.98,"arduino_tempCPU":-9,"compass":225,"counter":6,"dataSetType":1,"device_id":"lora32u4-nummer-een","gps_alt":0,"gps_hdop":1,"gps_lat":52.63840333452245,"gps_lng":4.749774023877023,"gps_prev_alt":1,"gps_prev_hdop":1,"gps_prev_lat":52.63845697870593,"gps_prev_lng":4.749623820163208,"myBtn":0,"myID":1,"payload":"ca dd 0e 83 60 ab 00 00 0a ca dd 13 83 60 a4 00 01 0a 37 5b c7 4b 11 00 06 00 00 00 00 00 00 00 00 00 00 00 00 00","raw":"yt0Og2CrAAAKyt0Tg2CkAAEKN1vHSxEABgAAAAAAAAAAAAAAAAA=","remoteID":0,"remote_Btn":0,"remote_DidHitMe":0,"remote_compass":0,"remote_distance":0,"remote_lat":-90,"remote_lng":-180,"remote_radioSSN":0,"time":"2017-12-02T13:58:44.376856736Z"</t>
  </si>
  <si>
    <t>ca dd 0e 83 60 ab 00 00 0a ca dd 13 83 60 a4 00 01 0a 37 5b c7 4b 11 00 06 00 00 00 00 00 00 00 00 00 00 00 00 00</t>
  </si>
  <si>
    <t>{"arduino_VCC":0,"arduino_Vbat":3.72,"arduino_tempCPU":-8,"compass":225,"counter":371,"dataSetType":1,"device_id":"lora32u4-nummer-drie","gps_alt":0,"gps_hdop":1,"gps_lat":52.63844624986925,"gps_lng":4.749752566203597,"gps_prev_alt":3,"gps_prev_hdop":1.1,"gps_prev_lat":52.63840333452245,"gps_prev_lng":4.749752566203597,"myBtn":0,"myID":3,"payload":"ca dd 12 83 60 aa 00 00 0a ca dd 0e 83 60 aa 00 03 0b 00 5c ba 4b 31 01 73 00 00 00 00 00 00 00 00 00 00 00 00 00","raw":"yt0Sg2CqAAAKyt0Og2CqAAMLAFy6SzEBcwAAAAAAAAAAAAAAAAA=","remoteID":0,"remote_Btn":0,"remote_DidHitMe":0,"remote_compass":0,"remote_distance":0,"remote_lat":-90,"remote_lng":-180,"remote_radioSSN":0,"time":"2017-12-02T13:58:51.480475232Z"</t>
  </si>
  <si>
    <t>ca dd 12 83 60 aa 00 00 0a ca dd 0e 83 60 aa 00 03 0b 00 5c ba 4b 31 01 73 00 00 00 00 00 00 00 00 00 00 00 00 00</t>
  </si>
  <si>
    <t>{"arduino_VCC":0,"arduino_Vbat":4.3,"arduino_tempCPU":-8,"compass":225,"counter":1,"dataSetType":1,"device_id":"banaan1","gps_alt":11,"gps_hdop":2.2,"gps_lat":52.63838187684905,"gps_lng":4.749859854570616,"gps_prev_alt":10,"gps_prev_hdop":2.1,"gps_prev_lat":52.63837114801234,"gps_prev_lng":4.74981693922382,"myBtn":0,"myID":8,"payload":"ca dd 0c 83 60 af 00 0b 16 ca dd 0b 83 60 ad 00 0a 15 00 5c d7 4b 81 00 01 00 00 00 00 00 00 00 00 00 00 00 00 00","raw":"yt0Mg2CvAAsWyt0Lg2CtAAoVAFzXS4EAAQAAAAAAAAAAAAAAAAA=","remoteID":0,"remote_Btn":0,"remote_DidHitMe":0,"remote_compass":0,"remote_distance":0,"remote_lat":-90,"remote_lng":-180,"remote_radioSSN":0,"time":"2017-12-02T13:59:36.211293793Z"</t>
  </si>
  <si>
    <t>ca dd 0c 83 60 af 00 0b 16 ca dd 0b 83 60 ad 00 0a 15 00 5c d7 4b 81 00 01 00 00 00 00 00 00 00 00 00 00 00 00 00</t>
  </si>
  <si>
    <t>{"arduino_VCC":0,"arduino_Vbat":4.18,"arduino_tempCPU":-7,"compass":225,"counter":334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4e 00 00 00 00 00 00 00 00 00 00 00 00 00","raw":"f///f///AqbKf///f///AqbKAF3RS1EBTgAAAAAAAAAAAAAAAAA=","remoteID":0,"remote_Btn":0,"remote_DidHitMe":0,"remote_compass":0,"remote_distance":0,"remote_lat":-90,"remote_lng":-180,"remote_radioSSN":0,"time":"2017-12-02T14:01:37.075607567Z"</t>
  </si>
  <si>
    <t>7f ff ff 7f ff ff 02 a6 ca 7f ff ff 7f ff ff 02 a6 ca 00 5d d1 4b 51 01 4e 00 00 00 00 00 00 00 00 00 00 00 00 00</t>
  </si>
  <si>
    <t>{"arduino_VCC":0,"arduino_Vbat":4.28,"arduino_tempCPU":-7,"compass":225,"counter":3,"dataSetType":1,"device_id":"banaan1","gps_alt":0,"gps_hdop":2.5,"gps_lat":52.638435521032534,"gps_lng":4.749967142937578,"gps_prev_alt":8,"gps_prev_hdop":2.2,"gps_prev_lat":52.63838187684905,"gps_prev_lng":4.749838396897189,"myBtn":0,"myID":8,"payload":"ca dd 11 83 60 b4 00 00 19 ca dd 0c 83 60 ae 00 08 16 00 5d d6 4b 81 00 03 00 00 00 00 00 00 00 00 00 00 00 00 00","raw":"yt0Rg2C0AAAZyt0Mg2CuAAgWAF3WS4EAAwAAAAAAAAAAAAAAAAA=","remoteID":0,"remote_Btn":0,"remote_DidHitMe":0,"remote_compass":0,"remote_distance":0,"remote_lat":-90,"remote_lng":-180,"remote_radioSSN":0,"time":"2017-12-02T14:02:31.998050848Z"</t>
  </si>
  <si>
    <t>ca dd 11 83 60 b4 00 00 19 ca dd 0c 83 60 ae 00 08 16 00 5d d6 4b 81 00 03 00 00 00 00 00 00 00 00 00 00 00 00 00</t>
  </si>
  <si>
    <t>{"arduino_VCC":1.1,"arduino_Vbat":3.94,"arduino_tempCPU":-9,"compass":225,"counter":7,"dataSetType":1,"device_id":"lora32u4-nummer-een","gps_alt":1,"gps_hdop":1.5,"gps_lat":52.638231673135266,"gps_lng":4.750010058284374,"gps_prev_alt":0,"gps_prev_hdop":1,"gps_prev_lat":52.63840333452245,"gps_prev_lng":4.749774023877023,"myBtn":0,"myID":1,"payload":"ca dc fe 83 60 b6 00 01 0f ca dd 0e 83 60 ab 00 00 0a 37 5b c5 4b 11 00 07 00 00 00 00 00 00 00 00 00 00 00 00 00","raw":"ytz+g2C2AAEPyt0Og2CrAAAKN1vFSxEABwAAAAAAAAAAAAAAAAA=","remoteID":0,"remote_Btn":0,"remote_DidHitMe":0,"remote_compass":0,"remote_distance":0,"remote_lat":-90,"remote_lng":-180,"remote_radioSSN":0,"time":"2017-12-02T14:02:45.425575122Z"</t>
  </si>
  <si>
    <t>ca dc fe 83 60 b6 00 01 0f ca dd 0e 83 60 ab 00 00 0a 37 5b c5 4b 11 00 07 00 00 00 00 00 00 00 00 00 00 00 00 00</t>
  </si>
  <si>
    <t>{"arduino_VCC":0,"arduino_Vbat":3.78,"arduino_tempCPU":-7,"compass":225,"counter":372,"dataSetType":1,"device_id":"lora32u4-nummer-drie","gps_alt":0,"gps_hdop":1.4,"gps_lat":52.63848916521604,"gps_lng":4.749881312243986,"gps_prev_alt":0,"gps_prev_hdop":1,"gps_prev_lat":52.63844624986925,"gps_prev_lng":4.749752566203597,"myBtn":0,"myID":3,"payload":"ca dd 16 83 60 b0 00 00 0e ca dd 12 83 60 aa 00 00 0a 00 5d bd 4b 31 01 74 00 00 00 00 00 00 00 00 00 00 00 00 00","raw":"yt0Wg2CwAAAOyt0Sg2CqAAAKAF29SzEBdAAAAAAAAAAAAAAAAAA=","remoteID":0,"remote_Btn":0,"remote_DidHitMe":0,"remote_compass":0,"remote_distance":0,"remote_lat":-90,"remote_lng":-180,"remote_radioSSN":0,"time":"2017-12-02T14:02:52.53176311Z"</t>
  </si>
  <si>
    <t>ca dd 16 83 60 b0 00 00 0e ca dd 12 83 60 aa 00 00 0a 00 5d bd 4b 31 01 74 00 00 00 00 00 00 00 00 00 00 00 00 00</t>
  </si>
  <si>
    <t>{"arduino_VCC":0,"arduino_Vbat":4.26,"arduino_tempCPU":-7,"compass":225,"counter":4,"dataSetType":1,"device_id":"banaan1","gps_alt":0,"gps_hdop":2.3,"gps_lat":52.63822094429855,"gps_lng":4.749580904816412,"gps_prev_alt":0,"gps_prev_hdop":2.5,"gps_prev_lat":52.638435521032534,"gps_prev_lng":4.749967142937578,"myBtn":0,"myID":8,"payload":"ca dc fd 83 60 a2 00 00 17 ca dd 11 83 60 b4 00 00 19 00 5d d5 4b 81 00 04 00 00 00 00 00 00 00 00 00 00 00 00 00","raw":"ytz9g2CiAAAXyt0Rg2C0AAAZAF3VS4EABAAAAAAAAAAAAAAAAAA=","remoteID":0,"remote_Btn":0,"remote_DidHitMe":0,"remote_compass":0,"remote_distance":0,"remote_lat":-90,"remote_lng":-180,"remote_radioSSN":0,"time":"2017-12-02T14:03:59.592553494Z"</t>
  </si>
  <si>
    <t>ca dc fd 83 60 a2 00 00 17 ca dd 11 83 60 b4 00 00 19 00 5d d5 4b 81 00 04 00 00 00 00 00 00 00 00 00 00 00 00 00</t>
  </si>
  <si>
    <t>{"arduino_VCC":0,"arduino_Vbat":4.2,"arduino_tempCPU":-7,"compass":225,"counter":5,"dataSetType":1,"device_id":"banaan1","gps_alt":0,"gps_hdop":0,"gps_lat":52.63838187684905,"gps_lng":4.749774023877023,"gps_prev_alt":0,"gps_prev_hdop":2.3,"gps_prev_lat":52.63822094429855,"gps_prev_lng":4.749580904816412,"myBtn":0,"myID":8,"payload":"ca dd 0c 83 60 ab 00 00 00 ca dc fd 83 60 a2 00 00 17 00 5d d2 4b 81 00 05 00 00 00 00 00 00 00 00 00 00 00 00 00","raw":"yt0Mg2CrAAAAytz9g2CiAAAXAF3SS4EABQAAAAAAAAAAAAAAAAA=","remoteID":0,"remote_Btn":0,"remote_DidHitMe":0,"remote_compass":0,"remote_distance":0,"remote_lat":-90,"remote_lng":-180,"remote_radioSSN":0,"time":"2017-12-02T14:05:27.262026703Z"</t>
  </si>
  <si>
    <t>ca dd 0c 83 60 ab 00 00 00 ca dc fd 83 60 a2 00 00 17 00 5d d2 4b 81 00 05 00 00 00 00 00 00 00 00 00 00 00 00 00</t>
  </si>
  <si>
    <t>{"arduino_VCC":0,"arduino_Vbat":4.18,"arduino_tempCPU":-7,"compass":225,"counter":335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4f 00 00 00 00 00 00 00 00 00 00 00 00 00","raw":"f///f///AqbKf///f///AqbKAF3RS1EBTwAAAAAAAAAAAAAAAAA=","remoteID":0,"remote_Btn":0,"remote_DidHitMe":0,"remote_compass":0,"remote_distance":0,"remote_lat":-90,"remote_lng":-180,"remote_radioSSN":0,"time":"2017-12-02T14:05:45.519953168Z"</t>
  </si>
  <si>
    <t>7f ff ff 7f ff ff 02 a6 ca 7f ff ff 7f ff ff 02 a6 ca 00 5d d1 4b 51 01 4f 00 00 00 00 00 00 00 00 00 00 00 00 00</t>
  </si>
  <si>
    <t>{"arduino_VCC":1.1,"arduino_Vbat":3.94,"arduino_tempCPU":-9,"compass":225,"counter":8,"dataSetType":1,"device_id":"lora32u4-nummer-een","gps_alt":7,"gps_hdop":0.9,"gps_lat":52.638231673135266,"gps_lng":4.749967142937578,"gps_prev_alt":1,"gps_prev_hdop":1.5,"gps_prev_lat":52.638231673135266,"gps_prev_lng":4.750010058284374,"myBtn":0,"myID":1,"payload":"ca dc fe 83 60 b4 00 07 09 ca dc fe 83 60 b6 00 01 0f 37 5b c5 4b 11 00 08 00 00 00 00 00 00 00 00 00 00 00 00 00","raw":"ytz+g2C0AAcJytz+g2C2AAEPN1vFSxEACAAAAAAAAAAAAAAAAAA=","remoteID":0,"remote_Btn":0,"remote_DidHitMe":0,"remote_compass":0,"remote_distance":0,"remote_lat":-90,"remote_lng":-180,"remote_radioSSN":0,"time":"2017-12-02T14:06:46.472504365Z"</t>
  </si>
  <si>
    <t>ca dc fe 83 60 b4 00 07 09 ca dc fe 83 60 b6 00 01 0f 37 5b c5 4b 11 00 08 00 00 00 00 00 00 00 00 00 00 00 00 00</t>
  </si>
  <si>
    <t>{"arduino_VCC":0,"arduino_Vbat":3.84,"arduino_tempCPU":-7,"compass":225,"counter":373,"dataSetType":1,"device_id":"lora32u4-nummer-drie","gps_alt":6,"gps_hdop":1,"gps_lat":52.63842479219585,"gps_lng":4.74981693922382,"gps_prev_alt":0,"gps_prev_hdop":1.4,"gps_prev_lat":52.63848916521604,"gps_prev_lng":4.749881312243986,"myBtn":0,"myID":3,"payload":"ca dd 10 83 60 ad 00 06 0a ca dd 16 83 60 b0 00 00 0e 00 5d c0 4b 31 01 75 00 00 00 00 00 00 00 00 00 00 00 00 00","raw":"yt0Qg2CtAAYKyt0Wg2CwAAAOAF3ASzEBdQAAAAAAAAAAAAAAAAA=","remoteID":0,"remote_Btn":0,"remote_DidHitMe":0,"remote_compass":0,"remote_distance":0,"remote_lat":-90,"remote_lng":-180,"remote_radioSSN":0,"time":"2017-12-02T14:06:53.580102805Z"</t>
  </si>
  <si>
    <t>ca dd 10 83 60 ad 00 06 0a ca dd 16 83 60 b0 00 00 0e 00 5d c0 4b 31 01 75 00 00 00 00 00 00 00 00 00 00 00 00 00</t>
  </si>
  <si>
    <t>{"arduino_VCC":0,"arduino_Vbat":4.22,"arduino_tempCPU":-7,"compass":225,"counter":6,"dataSetType":1,"device_id":"banaan1","gps_alt":6,"gps_hdop":0.8,"gps_lat":52.63769523130031,"gps_lng":4.749967142937578,"gps_prev_alt":0,"gps_prev_hdop":0,"gps_prev_lat":52.63838187684905,"gps_prev_lng":4.749774023877023,"myBtn":0,"myID":8,"payload":"ca dc cc 83 60 b4 00 06 08 ca dd 0c 83 60 ab 00 00 00 00 5d d3 4b 81 00 06 00 00 00 00 00 00 00 00 00 00 00 00 00","raw":"ytzMg2C0AAYIyt0Mg2CrAAAAAF3TS4EABgAAAAAAAAAAAAAAAAA=","remoteID":0,"remote_Btn":0,"remote_DidHitMe":0,"remote_compass":0,"remote_distance":0,"remote_lat":-90,"remote_lng":-180,"remote_radioSSN":0,"time":"2017-12-02T14:06:55.704392237Z"</t>
  </si>
  <si>
    <t>ca dc cc 83 60 b4 00 06 08 ca dd 0c 83 60 ab 00 00 00 00 5d d3 4b 81 00 06 00 00 00 00 00 00 00 00 00 00 00 00 00</t>
  </si>
  <si>
    <t>{"arduino_VCC":0,"arduino_Vbat":4.2,"arduino_tempCPU":-7,"compass":225,"counter":7,"dataSetType":1,"device_id":"banaan1","gps_alt":0,"gps_hdop":0.9,"gps_lat":52.63730899317915,"gps_lng":4.748314902085951,"gps_prev_alt":6,"gps_prev_hdop":0.8,"gps_prev_lat":52.63769523130031,"gps_prev_lng":4.749967142937578,"myBtn":0,"myID":8,"payload":"ca dc a8 83 60 67 00 00 09 ca dc cc 83 60 b4 00 06 08 00 5d d2 4b 81 00 07 00 00 00 00 00 00 00 00 00 00 00 00 00","raw":"ytyog2BnAAAJytzMg2C0AAYIAF3SS4EABwAAAAAAAAAAAAAAAAA=","remoteID":0,"remote_Btn":0,"remote_DidHitMe":0,"remote_compass":0,"remote_distance":0,"remote_lat":-90,"remote_lng":-180,"remote_radioSSN":0,"time":"2017-12-02T14:08:24.623453659Z"</t>
  </si>
  <si>
    <t>ca dc a8 83 60 67 00 00 09 ca dc cc 83 60 b4 00 06 08 00 5d d2 4b 81 00 07 00 00 00 00 00 00 00 00 00 00 00 00 00</t>
  </si>
  <si>
    <t>{"arduino_VCC":0,"arduino_Vbat":4.24,"arduino_tempCPU":-7,"compass":225,"counter":8,"dataSetType":1,"device_id":"banaan1","gps_alt":0,"gps_hdop":0.7,"gps_lat":52.63649360159002,"gps_lng":4.747714087230804,"gps_prev_alt":0,"gps_prev_hdop":0.9,"gps_prev_lat":52.63730899317915,"gps_prev_lng":4.748314902085951,"myBtn":0,"myID":8,"payload":"ca dc 5c 83 60 4b 00 00 07 ca dc a8 83 60 67 00 00 09 00 5d d4 4b 81 00 08 00 00 00 00 00 00 00 00 00 00 00 00 00","raw":"ytxcg2BLAAAHytyog2BnAAAJAF3US4EACAAAAAAAAAAAAAAAAAA=","remoteID":0,"remote_Btn":0,"remote_DidHitMe":0,"remote_compass":0,"remote_distance":0,"remote_lat":-90,"remote_lng":-180,"remote_radioSSN":0,"time":"2017-12-02T14:09:53.592739836Z"</t>
  </si>
  <si>
    <t>ca dc 5c 83 60 4b 00 00 07 ca dc a8 83 60 67 00 00 09 00 5d d4 4b 81 00 08 00 00 00 00 00 00 00 00 00 00 00 00 00</t>
  </si>
  <si>
    <t>{"arduino_VCC":0,"arduino_Vbat":4.18,"arduino_tempCPU":-7,"compass":225,"counter":336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50 00 00 00 00 00 00 00 00 00 00 00 00 00","raw":"f///f///AqbKf///f///AqbKAF3RS1EBUAAAAAAAAAAAAAAAAAA=","remoteID":0,"remote_Btn":0,"remote_DidHitMe":0,"remote_compass":0,"remote_distance":0,"remote_lat":-90,"remote_lng":-180,"remote_radioSSN":0,"time":"2017-12-02T14:09:54.211304108Z"</t>
  </si>
  <si>
    <t>7f ff ff 7f ff ff 02 a6 ca 7f ff ff 7f ff ff 02 a6 ca 00 5d d1 4b 51 01 50 00 00 00 00 00 00 00 00 00 00 00 00 00</t>
  </si>
  <si>
    <t>{"arduino_VCC":1.1,"arduino_Vbat":3.98,"arduino_tempCPU":-9,"compass":225,"counter":9,"dataSetType":1,"device_id":"lora32u4-nummer-een","gps_alt":29,"gps_hdop":0.8,"gps_lat":52.63816730011507,"gps_lng":4.750267550365152,"gps_prev_alt":7,"gps_prev_hdop":0.9,"gps_prev_lat":52.638231673135266,"gps_prev_lng":4.749967142937578,"myBtn":0,"myID":1,"payload":"ca dc f8 83 60 c2 00 1d 08 ca dc fe 83 60 b4 00 07 09 37 5b c7 4b 11 00 09 00 00 00 00 00 00 00 00 00 00 00 00 00","raw":"ytz4g2DCAB0Iytz+g2C0AAcJN1vHSxEACQAAAAAAAAAAAAAAAAA=","remoteID":0,"remote_Btn":0,"remote_DidHitMe":0,"remote_compass":0,"remote_distance":0,"remote_lat":-90,"remote_lng":-180,"remote_radioSSN":0,"time":"2017-12-02T14:10:47.526404256Z"</t>
  </si>
  <si>
    <t>ca dc f8 83 60 c2 00 1d 08 ca dc fe 83 60 b4 00 07 09 37 5b c7 4b 11 00 09 00 00 00 00 00 00 00 00 00 00 00 00 00</t>
  </si>
  <si>
    <t>{"arduino_VCC":0,"arduino_Vbat":3.84,"arduino_tempCPU":-7,"compass":225,"counter":374,"dataSetType":1,"device_id":"lora32u4-nummer-drie","gps_alt":14,"gps_hdop":1.1,"gps_lat":52.63834969033894,"gps_lng":4.749859854570616,"gps_prev_alt":6,"gps_prev_hdop":1,"gps_prev_lat":52.63842479219585,"gps_prev_lng":4.74981693922382,"myBtn":0,"myID":3,"payload":"ca dd 09 83 60 af 00 0e 0b ca dd 10 83 60 ad 00 06 0a 00 5d c0 4b 31 01 76 00 00 00 00 00 00 00 00 00 00 00 00 00","raw":"yt0Jg2CvAA4Lyt0Qg2CtAAYKAF3ASzEBdgAAAAAAAAAAAAAAAAA=","remoteID":0,"remote_Btn":0,"remote_DidHitMe":0,"remote_compass":0,"remote_distance":0,"remote_lat":-90,"remote_lng":-180,"remote_radioSSN":0,"time":"2017-12-02T14:10:54.629128536Z"</t>
  </si>
  <si>
    <t>ca dd 09 83 60 af 00 0e 0b ca dd 10 83 60 ad 00 06 0a 00 5d c0 4b 31 01 76 00 00 00 00 00 00 00 00 00 00 00 00 00</t>
  </si>
  <si>
    <t>{"arduino_VCC":0,"arduino_Vbat":4.28,"arduino_tempCPU":-8,"compass":225,"counter":9,"dataSetType":1,"device_id":"banaan1","gps_alt":0,"gps_hdop":0.9,"gps_lat":52.63578549836788,"gps_lng":4.746963068661842,"gps_prev_alt":0,"gps_prev_hdop":0.7,"gps_prev_lat":52.63649360159002,"gps_prev_lng":4.747714087230804,"myBtn":0,"myID":8,"payload":"ca dc 1a 83 60 28 00 00 09 ca dc 5c 83 60 4b 00 00 07 00 5c d6 4b 81 00 09 00 00 00 00 00 00 00 00 00 00 00 00 00","raw":"ytwag2AoAAAJytxcg2BLAAAHAFzWS4EACQAAAAAAAAAAAAAAAAA=","remoteID":0,"remote_Btn":0,"remote_DidHitMe":0,"remote_compass":0,"remote_distance":0,"remote_lat":-90,"remote_lng":-180,"remote_radioSSN":0,"time":"2017-12-02T14:11:22.534072433Z"</t>
  </si>
  <si>
    <t>ca dc 1a 83 60 28 00 00 09 ca dc 5c 83 60 4b 00 00 07 00 5c d6 4b 81 00 09 00 00 00 00 00 00 00 00 00 00 00 00 00</t>
  </si>
  <si>
    <t>{"arduino_VCC":0,"arduino_Vbat":4.2,"arduino_tempCPU":-7,"compass":225,"counter":10,"dataSetType":1,"device_id":"banaan1","gps_alt":5,"gps_hdop":0.9,"gps_lat":52.63577476953117,"gps_lng":4.745761438951547,"gps_prev_alt":0,"gps_prev_hdop":0.9,"gps_prev_lat":52.63578549836788,"gps_prev_lng":4.746963068661842,"myBtn":0,"myID":8,"payload":"ca dc 19 83 5f f0 00 05 09 ca dc 1a 83 60 28 00 00 09 00 5d d2 4b 81 00 0a 00 00 00 00 00 00 00 00 00 00 00 00 00","raw":"ytwZg1/wAAUJytwag2AoAAAJAF3SS4EACgAAAAAAAAAAAAAAAAA=","remoteID":0,"remote_Btn":0,"remote_DidHitMe":0,"remote_compass":0,"remote_distance":0,"remote_lat":-90,"remote_lng":-180,"remote_radioSSN":0,"time":"2017-12-02T14:12:51.203400747Z"</t>
  </si>
  <si>
    <t>ca dc 19 83 5f f0 00 05 09 ca dc 1a 83 60 28 00 00 09 00 5d d2 4b 81 00 0a 00 00 00 00 00 00 00 00 00 00 00 00 00</t>
  </si>
  <si>
    <t>{"arduino_VCC":0,"arduino_Vbat":4.18,"arduino_tempCPU":-7,"compass":225,"counter":337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51 00 00 00 00 00 00 00 00 00 00 00 00 00","raw":"f///f///AqbKf///f///AqbKAF3RS1EBUQAAAAAAAAAAAAAAAAA=","remoteID":0,"remote_Btn":0,"remote_DidHitMe":0,"remote_compass":0,"remote_distance":0,"remote_lat":-90,"remote_lng":-180,"remote_radioSSN":0,"time":"2017-12-02T14:14:02.650151377Z"</t>
  </si>
  <si>
    <t>7f ff ff 7f ff ff 02 a6 ca 7f ff ff 7f ff ff 02 a6 ca 00 5d d1 4b 51 01 51 00 00 00 00 00 00 00 00 00 00 00 00 00</t>
  </si>
  <si>
    <t>{"arduino_VCC":0,"arduino_Vbat":4.18,"arduino_tempCPU":-7,"compass":225,"counter":11,"dataSetType":1,"device_id":"banaan1","gps_alt":0,"gps_hdop":0.9,"gps_lat":52.63520614118613,"gps_lng":4.745568319890992,"gps_prev_alt":5,"gps_prev_hdop":0.9,"gps_prev_lat":52.63577476953117,"gps_prev_lng":4.745761438951547,"myBtn":0,"myID":8,"payload":"ca db e4 83 5f e7 00 00 09 ca dc 19 83 5f f0 00 05 09 00 5d d1 4b 81 00 0b 00 00 00 00 00 00 00 00 00 00 00 00 00","raw":"ytvkg1/nAAAJytwZg1/wAAUJAF3RS4EACwAAAAAAAAAAAAAAAAA=","remoteID":0,"remote_Btn":0,"remote_DidHitMe":0,"remote_compass":0,"remote_distance":0,"remote_lat":-90,"remote_lng":-180,"remote_radioSSN":0,"time":"2017-12-02T14:14:19.629170616Z"</t>
  </si>
  <si>
    <t>ca db e4 83 5f e7 00 00 09 ca dc 19 83 5f f0 00 05 09 00 5d d1 4b 81 00 0b 00 00 00 00 00 00 00 00 00 00 00 00 00</t>
  </si>
  <si>
    <t>{"arduino_VCC":1.1,"arduino_Vbat":3.94,"arduino_tempCPU":-9,"compass":225,"counter":10,"dataSetType":1,"device_id":"lora32u4-nummer-een","gps_alt":16,"gps_hdop":0.8,"gps_lat":52.638231673135266,"gps_lng":4.749967142937578,"gps_prev_alt":29,"gps_prev_hdop":0.8,"gps_prev_lat":52.63816730011507,"gps_prev_lng":4.750267550365152,"myBtn":0,"myID":1,"payload":"ca dc fe 83 60 b4 00 10 08 ca dc f8 83 60 c2 00 1d 08 37 5b c5 4b 11 00 0a 00 00 00 00 00 00 00 00 00 00 00 00 00","raw":"ytz+g2C0ABAIytz4g2DCAB0IN1vFSxEACgAAAAAAAAAAAAAAAAA=","remoteID":0,"remote_Btn":0,"remote_DidHitMe":0,"remote_compass":0,"remote_distance":0,"remote_lat":-90,"remote_lng":-180,"remote_radioSSN":0,"time":"2017-12-02T14:14:48.572959063Z"</t>
  </si>
  <si>
    <t>ca dc fe 83 60 b4 00 10 08 ca dc f8 83 60 c2 00 1d 08 37 5b c5 4b 11 00 0a 00 00 00 00 00 00 00 00 00 00 00 00 00</t>
  </si>
  <si>
    <t>{"arduino_VCC":0,"arduino_Vbat":4.16,"arduino_tempCPU":-8,"compass":225,"counter":12,"dataSetType":1,"device_id":"banaan1","gps_alt":0,"gps_hdop":1.3,"gps_lat":52.634079613332716,"gps_lng":4.745031878056011,"gps_prev_alt":0,"gps_prev_hdop":0.9,"gps_prev_lat":52.63520614118613,"gps_prev_lng":4.745568319890992,"myBtn":0,"myID":8,"payload":"ca db 7b 83 5f ce 00 00 0d ca db e4 83 5f e7 00 00 09 00 5c d0 4b 81 00 0c 00 00 00 00 00 00 00 00 00 00 00 00 00","raw":"ytt7g1/OAAANytvkg1/nAAAJAFzQS4EADAAAAAAAAAAAAAAAAAA=","remoteID":0,"remote_Btn":0,"remote_DidHitMe":0,"remote_compass":0,"remote_distance":0,"remote_lat":-90,"remote_lng":-180,"remote_radioSSN":0,"time":"2017-12-02T14:15:48.574904094Z"</t>
  </si>
  <si>
    <t>ca db 7b 83 5f ce 00 00 0d ca db e4 83 5f e7 00 00 09 00 5c d0 4b 81 00 0c 00 00 00 00 00 00 00 00 00 00 00 00 00</t>
  </si>
  <si>
    <t>{"arduino_VCC":0,"arduino_Vbat":4.22,"arduino_tempCPU":-8,"compass":225,"counter":13,"dataSetType":1,"device_id":"banaan1","gps_alt":0,"gps_hdop":0.9,"gps_lat":52.63308183151972,"gps_lng":4.744173571120086,"gps_prev_alt":0,"gps_prev_hdop":1.3,"gps_prev_lat":52.634079613332716,"gps_prev_lng":4.745031878056011,"myBtn":0,"myID":8,"payload":"ca db 1e 83 5f a6 00 00 09 ca db 7b 83 5f ce 00 00 0d 00 5c d3 4b 81 00 0d 00 00 00 00 00 00 00 00 00 00 00 00 00","raw":"ytseg1+mAAAJytt7g1/OAAANAFzTS4EADQAAAAAAAAAAAAAAAAA=","remoteID":0,"remote_Btn":0,"remote_DidHitMe":0,"remote_compass":0,"remote_distance":0,"remote_lat":-90,"remote_lng":-180,"remote_radioSSN":0,"time":"2017-12-02T14:17:17.526660438Z"</t>
  </si>
  <si>
    <t>ca db 1e 83 5f a6 00 00 09 ca db 7b 83 5f ce 00 00 0d 00 5c d3 4b 81 00 0d 00 00 00 00 00 00 00 00 00 00 00 00 00</t>
  </si>
  <si>
    <t>{"arduino_VCC":0,"arduino_Vbat":4.16,"arduino_tempCPU":-7,"compass":225,"counter":338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52 00 00 00 00 00 00 00 00 00 00 00 00 00","raw":"f///f///AqbKf///f///AqbKAF3QS1EBUgAAAAAAAAAAAAAAAAA=","remoteID":0,"remote_Btn":0,"remote_DidHitMe":0,"remote_compass":0,"remote_distance":0,"remote_lat":-90,"remote_lng":-180,"remote_radioSSN":0,"time":"2017-12-02T14:18:11.098352034Z"</t>
  </si>
  <si>
    <t>7f ff ff 7f ff ff 02 a6 ca 7f ff ff 7f ff ff 02 a6 ca 00 5d d0 4b 51 01 52 00 00 00 00 00 00 00 00 00 00 00 00 00</t>
  </si>
  <si>
    <t>{"arduino_VCC":0,"arduino_Vbat":4.2,"arduino_tempCPU":-7,"compass":225,"counter":14,"dataSetType":1,"device_id":"banaan1","gps_alt":16,"gps_hdop":0.7,"gps_lat":52.632330812950784,"gps_lng":4.745096251076234,"gps_prev_alt":0,"gps_prev_hdop":0.9,"gps_prev_lat":52.63308183151972,"gps_prev_lng":4.744173571120086,"myBtn":0,"myID":8,"payload":"ca da d8 83 5f d1 00 10 07 ca db 1e 83 5f a6 00 00 09 00 5d d2 4b 81 00 0e 00 00 00 00 00 00 00 00 00 00 00 00 00","raw":"ytrYg1/RABAHytseg1+mAAAJAF3SS4EADgAAAAAAAAAAAAAAAAA=","remoteID":0,"remote_Btn":0,"remote_DidHitMe":0,"remote_compass":0,"remote_distance":0,"remote_lat":-90,"remote_lng":-180,"remote_radioSSN":0,"time":"2017-12-02T14:18:45.663614739Z"</t>
  </si>
  <si>
    <t>ca da d8 83 5f d1 00 10 07 ca db 1e 83 5f a6 00 00 09 00 5d d2 4b 81 00 0e 00 00 00 00 00 00 00 00 00 00 00 00 00</t>
  </si>
  <si>
    <t>{"arduino_VCC":1.1,"arduino_Vbat":3.94,"arduino_tempCPU":-9,"compass":225,"counter":11,"dataSetType":1,"device_id":"lora32u4-nummer-een","gps_alt":54,"gps_hdop":0.8,"gps_lat":52.63813511360496,"gps_lng":4.750095888977967,"gps_prev_alt":16,"gps_prev_hdop":0.8,"gps_prev_lat":52.638231673135266,"gps_prev_lng":4.749967142937578,"myBtn":0,"myID":1,"payload":"ca dc f5 83 60 ba 00 36 08 ca dc fe 83 60 b4 00 10 08 37 5b c5 4b 11 00 0b 00 00 00 00 00 00 00 00 00 00 00 00 00","raw":"ytz1g2C6ADYIytz+g2C0ABAIN1vFSxEACwAAAAAAAAAAAAAAAAA=","remoteID":0,"remote_Btn":0,"remote_DidHitMe":0,"remote_compass":0,"remote_distance":0,"remote_lat":-90,"remote_lng":-180,"remote_radioSSN":0,"time":"2017-12-02T14:18:49.615770501Z"</t>
  </si>
  <si>
    <t>ca dc f5 83 60 ba 00 36 08 ca dc fe 83 60 b4 00 10 08 37 5b c5 4b 11 00 0b 00 00 00 00 00 00 00 00 00 00 00 00 00</t>
  </si>
  <si>
    <t>{"arduino_VCC":0,"arduino_Vbat":3.76,"arduino_tempCPU":-7,"compass":225,"counter":376,"dataSetType":1,"device_id":"lora32u4-nummer-drie","gps_alt":41,"gps_hdop":0.8,"gps_lat":52.63811365593156,"gps_lng":4.7500529736311705,"gps_prev_alt":0,"gps_prev_hdop":1.1,"gps_prev_lat":52.63838187684905,"gps_prev_lng":4.749881312243986,"myBtn":0,"myID":3,"payload":"ca dc f3 83 60 b8 00 29 08 ca dd 0c 83 60 b0 00 00 0b 00 5d bc 4b 31 01 78 00 00 00 00 00 00 00 00 00 00 00 00 00","raw":"ytzzg2C4ACkIyt0Mg2CwAAALAF28SzEBeAAAAAAAAAAAAAAAAAA=","remoteID":0,"remote_Btn":0,"remote_DidHitMe":0,"remote_compass":0,"remote_distance":0,"remote_lat":-90,"remote_lng":-180,"remote_radioSSN":0,"time":"2017-12-02T14:18:56.469084409Z"</t>
  </si>
  <si>
    <t>ca dc f3 83 60 b8 00 29 08 ca dd 0c 83 60 b0 00 00 0b 00 5d bc 4b 31 01 78 00 00 00 00 00 00 00 00 00 00 00 00 00</t>
  </si>
  <si>
    <t>ca da a6 83 60 18 00 13 07 ca da d8 83 5f d1 00 10 07 00 5c d1 4b 81 00 0f 00 00 00 00 00 00 00 00 00 00 00 00 00</t>
  </si>
  <si>
    <t>{"arduino_VCC":0,"arduino_Vbat":4.18,"arduino_tempCPU":-8,"compass":225,"counter":15,"dataSetType":1,"device_id":"banaan1","gps_alt":19,"gps_hdop":0.7,"gps_lat":52.63179437111583,"gps_lng":4.746619745887472,"gps_prev_alt":16,"gps_prev_hdop":0.7,"gps_prev_lat":52.632330812950784,"gps_prev_lng":4.745096251076234,"myBtn":0,"myID":8,"payload":"ca da a6 83 60 18 00 13 07 ca da d8 83 5f d1 00 10 07 00 5c d1 4b 81 00 0f 00 00 00 00 00 00 00 00 00 00 00 00 00","raw":"ytqmg2AYABMHytrYg1/RABAHAFzRS4EADwAAAAAAAAAAAAAAAAA=","remoteID":0,"remote_Btn":0,"remote_DidHitMe":0,"remote_compass":0,"remote_distance":0,"remote_lat":-90,"remote_lng":-180,"remote_radioSSN":0,"time":"2017-12-02T14:20:13.27742626Z"</t>
  </si>
  <si>
    <t>{"arduino_VCC":0,"arduino_Vbat":4.16,"arduino_tempCPU":-7,"compass":225,"counter":339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53 00 00 00 00 00 00 00 00 00 00 00 00 00","raw":"f///f///AqbKf///f///AqbKAF3QS1EBUwAAAAAAAAAAAAAAAAA=","remoteID":0,"remote_Btn":0,"remote_DidHitMe":0,"remote_compass":0,"remote_distance":0,"remote_lat":-90,"remote_lng":-180,"remote_radioSSN":0,"time":"2017-12-02T14:22:19.533903249Z"</t>
  </si>
  <si>
    <t>7f ff ff 7f ff ff 02 a6 ca 7f ff ff 7f ff ff 02 a6 ca 00 5d d0 4b 51 01 53 00 00 00 00 00 00 00 00 00 00 00 00 00</t>
  </si>
  <si>
    <t>{"arduino_VCC":1.1,"arduino_Vbat":3.98,"arduino_tempCPU":-9,"compass":225,"counter":12,"dataSetType":1,"device_id":"lora32u4-nummer-een","gps_alt":32,"gps_hdop":0.8,"gps_lat":52.63810292709488,"gps_lng":4.750031515957801,"gps_prev_alt":54,"gps_prev_hdop":0.8,"gps_prev_lat":52.63813511360496,"gps_prev_lng":4.750095888977967,"myBtn":0,"myID":1,"payload":"ca dc f2 83 60 b7 00 20 08 ca dc f5 83 60 ba 00 36 08 37 5b c7 4b 11 00 0c 00 00 00 00 00 00 00 00 00 00 00 00 00","raw":"ytzyg2C3ACAIytz1g2C6ADYIN1vHSxEADAAAAAAAAAAAAAAAAAA=","remoteID":0,"remote_Btn":0,"remote_DidHitMe":0,"remote_compass":0,"remote_distance":0,"remote_lat":-90,"remote_lng":-180,"remote_radioSSN":0,"time":"2017-12-02T14:22:50.415723577Z"</t>
  </si>
  <si>
    <t>ca dc f2 83 60 b7 00 20 08 ca dc f5 83 60 ba 00 36 08 37 5b c7 4b 11 00 0c 00 00 00 00 00 00 00 00 00 00 00 00 00</t>
  </si>
  <si>
    <t>{"arduino_VCC":0,"arduino_Vbat":3.84,"arduino_tempCPU":-7,"compass":225,"counter":377,"dataSetType":1,"device_id":"lora32u4-nummer-drie","gps_alt":25,"gps_hdop":0.9,"gps_lat":52.638092198258164,"gps_lng":4.749967142937578,"gps_prev_alt":41,"gps_prev_hdop":0.8,"gps_prev_lat":52.63811365593156,"gps_prev_lng":4.7500529736311705,"myBtn":0,"myID":3,"payload":"ca dc f1 83 60 b4 00 19 09 ca dc f3 83 60 b8 00 29 08 00 5d c0 4b 31 01 79 00 00 00 00 00 00 00 00 00 00 00 00 00","raw":"ytzxg2C0ABkJytzzg2C4ACkIAF3ASzEBeQAAAAAAAAAAAAAAAAA=","remoteID":0,"remote_Btn":0,"remote_DidHitMe":0,"remote_compass":0,"remote_distance":0,"remote_lat":-90,"remote_lng":-180,"remote_radioSSN":0,"time":"2017-12-02T14:22:57.520163584Z"</t>
  </si>
  <si>
    <t>ca dc f1 83 60 b4 00 19 09 ca dc f3 83 60 b8 00 29 08 00 5d c0 4b 31 01 79 00 00 00 00 00 00 00 00 00 00 00 00 00</t>
  </si>
  <si>
    <t>{"arduino_VCC":0,"arduino_Vbat":4.16,"arduino_tempCPU":-7,"compass":225,"counter":340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54 00 00 00 00 00 00 00 00 00 00 00 00 00","raw":"f///f///AqbKf///f///AqbKAF3QS1EBVAAAAAAAAAAAAAAAAAA=","remoteID":0,"remote_Btn":0,"remote_DidHitMe":0,"remote_compass":0,"remote_distance":0,"remote_lat":-90,"remote_lng":-180,"remote_radioSSN":0,"time":"2017-12-02T14:26:28.232598909Z"</t>
  </si>
  <si>
    <t>7f ff ff 7f ff ff 02 a6 ca 7f ff ff 7f ff ff 02 a6 ca 00 5d d0 4b 51 01 54 00 00 00 00 00 00 00 00 00 00 00 00 00</t>
  </si>
  <si>
    <t>{"arduino_VCC":1.1,"arduino_Vbat":4,"arduino_tempCPU":-9,"compass":225,"counter":13,"dataSetType":1,"device_id":"lora32u4-nummer-een","gps_alt":15,"gps_hdop":0.8,"gps_lat":52.638306774992145,"gps_lng":4.749945685264208,"gps_prev_alt":32,"gps_prev_hdop":0.8,"gps_prev_lat":52.63810292709488,"gps_prev_lng":4.750031515957801,"myBtn":0,"myID":1,"payload":"ca dd 05 83 60 b3 00 0f 08 ca dc f2 83 60 b7 00 20 08 37 5b c8 4b 11 00 0d 00 00 00 00 00 00 00 00 00 00 00 00 00","raw":"yt0Fg2CzAA8Iytzyg2C3ACAIN1vISxEADQAAAAAAAAAAAAAAAAA=","remoteID":0,"remote_Btn":0,"remote_DidHitMe":0,"remote_compass":0,"remote_distance":0,"remote_lat":-90,"remote_lng":-180,"remote_radioSSN":0,"time":"2017-12-02T14:26:51.47436115Z"</t>
  </si>
  <si>
    <t>ca dd 05 83 60 b3 00 0f 08 ca dc f2 83 60 b7 00 20 08 37 5b c8 4b 11 00 0d 00 00 00 00 00 00 00 00 00 00 00 00 00</t>
  </si>
  <si>
    <t>{"arduino_VCC":0,"arduino_Vbat":3.78,"arduino_tempCPU":-7,"compass":225,"counter":378,"dataSetType":1,"device_id":"lora32u4-nummer-drie","gps_alt":25,"gps_hdop":0.9,"gps_lat":52.638306774992145,"gps_lng":4.749881312243986,"gps_prev_alt":25,"gps_prev_hdop":0.9,"gps_prev_lat":52.638092198258164,"gps_prev_lng":4.749967142937578,"myBtn":0,"myID":3,"payload":"ca dd 05 83 60 b0 00 19 09 ca dc f1 83 60 b4 00 19 09 00 5d bd 4b 31 01 7a 00 00 00 00 00 00 00 00 00 00 00 00 00","raw":"yt0Fg2CwABkJytzxg2C0ABkJAF29SzEBegAAAAAAAAAAAAAAAAA=","remoteID":0,"remote_Btn":0,"remote_DidHitMe":0,"remote_compass":0,"remote_distance":0,"remote_lat":-90,"remote_lng":-180,"remote_radioSSN":0,"time":"2017-12-02T14:26:58.569442011Z"</t>
  </si>
  <si>
    <t>ca dd 05 83 60 b0 00 19 09 ca dc f1 83 60 b4 00 19 09 00 5d bd 4b 31 01 7a 00 00 00 00 00 00 00 00 00 00 00 00 00</t>
  </si>
  <si>
    <t>ca da 17 83 60 b3 00 00 08 ca d9 cf 83 60 aa 00 08 07 00 5d cf 4b 81 00 14 00 00 00 00 00 00 00 00 00 00 00 00 00</t>
  </si>
  <si>
    <t>2h</t>
  </si>
  <si>
    <t>{"arduino_VCC":0,"arduino_Vbat":4.14,"arduino_tempCPU":-7,"compass":225,"counter":20,"dataSetType":1,"device_id":"banaan1","gps_alt":0,"gps_hdop":0.8,"gps_lat":52.63026014746785,"gps_lng":4.749945685264208,"gps_prev_alt":8,"gps_prev_hdop":0.7,"gps_prev_lat":52.62948767122552,"gps_prev_lng":4.749752566203597,"myBtn":0,"myID":8,"payload":"ca da 17 83 60 b3 00 00 08 ca d9 cf 83 60 aa 00 08 07 00 5d cf 4b 81 00 14 00 00 00 00 00 00 00 00 00 00 00 00 00","raw":"ytoXg2CzAAAIytnPg2CqAAgHAF3PS4EAFAAAAAAAAAAAAAAAAAA=","remoteID":0,"remote_Btn":0,"remote_DidHitMe":0,"remote_compass":0,"remote_distance":0,"remote_lat":-90,"remote_lng":-180,"remote_radioSSN":0,"time":"2017-12-02T14:27:31.9948221Z"</t>
  </si>
  <si>
    <t>ca da 6a 83 60 cb 00 00 0a ca da 17 83 60 b3 00 00 08 00 5d ce 4b 81 00 15 00 00 00 00 00 00 00 00 00 00 00 00 00</t>
  </si>
  <si>
    <t>{"arduino_VCC":0,"arduino_Vbat":4.12,"arduino_tempCPU":-7,"compass":225,"counter":21,"dataSetType":1,"device_id":"banaan1","gps_alt":0,"gps_hdop":1,"gps_lat":52.63115064091389,"gps_lng":4.750460669425763,"gps_prev_alt":0,"gps_prev_hdop":0.8,"gps_prev_lat":52.63026014746785,"gps_prev_lng":4.749945685264208,"myBtn":0,"myID":8,"payload":"ca da 6a 83 60 cb 00 00 0a ca da 17 83 60 b3 00 00 08 00 5d ce 4b 81 00 15 00 00 00 00 00 00 00 00 00 00 00 00 00","raw":"ytpqg2DLAAAKytoXg2CzAAAIAF3OS4EAFQAAAAAAAAAAAAAAAAA=","remoteID":0,"remote_Btn":0,"remote_DidHitMe":0,"remote_compass":0,"remote_distance":0,"remote_lat":-90,"remote_lng":-180,"remote_radioSSN":0,"time":"2017-12-02T14:28:59.879337325Z"</t>
  </si>
  <si>
    <t>{"arduino_VCC":0,"arduino_Vbat":4.12,"arduino_tempCPU":-7,"compass":225,"counter":22,"dataSetType":1,"device_id":"banaan1","gps_alt":0,"gps_hdop":0.7,"gps_lat":52.63203040552321,"gps_lng":4.750997111260688,"gps_prev_alt":0,"gps_prev_hdop":1,"gps_prev_lat":52.63115064091389,"gps_prev_lng":4.750460669425763,"myBtn":0,"myID":8,"payload":"ca da bc 83 60 e4 00 00 07 ca da 6a 83 60 cb 00 00 0a 00 5d ce 4b 81 00 16 00 00 00 00 00 00 00 00 00 00 00 00 00","raw":"ytq8g2DkAAAHytpqg2DLAAAKAF3OS4EAFgAAAAAAAAAAAAAAAAA=","remoteID":0,"remote_Btn":0,"remote_DidHitMe":0,"remote_compass":0,"remote_distance":0,"remote_lat":-90,"remote_lng":-180,"remote_radioSSN":0,"time":"2017-12-02T14:30:28.068229599Z"</t>
  </si>
  <si>
    <t>ca da bc 83 60 e4 00 00 07 ca da 6a 83 60 cb 00 00 0a 00 5d ce 4b 81 00 16 00 00 00 00 00 00 00 00 00 00 00 00 00</t>
  </si>
  <si>
    <t>{"arduino_VCC":0,"arduino_Vbat":4.16,"arduino_tempCPU":-7,"compass":225,"counter":341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55 00 00 00 00 00 00 00 00 00 00 00 00 00","raw":"f///f///AqbKf///f///AqbKAF3QS1EBVQAAAAAAAAAAAAAAAAA=","remoteID":0,"remote_Btn":0,"remote_DidHitMe":0,"remote_compass":0,"remote_distance":0,"remote_lat":-90,"remote_lng":-180,"remote_radioSSN":0,"time":"2017-12-02T14:30:36.671327102Z"</t>
  </si>
  <si>
    <t>7f ff ff 7f ff ff 02 a6 ca 7f ff ff 7f ff ff 02 a6 ca 00 5d d0 4b 51 01 55 00 00 00 00 00 00 00 00 00 00 00 00 00</t>
  </si>
  <si>
    <t>{"arduino_VCC":1.1,"arduino_Vbat":3.96,"arduino_tempCPU":-9,"compass":225,"counter":14,"dataSetType":1,"device_id":"lora32u4-nummer-een","gps_alt":24,"gps_hdop":0.8,"gps_lat":52.63810292709488,"gps_lng":4.750203177344986,"gps_prev_alt":15,"gps_prev_hdop":0.8,"gps_prev_lat":52.638306774992145,"gps_prev_lng":4.749945685264208,"myBtn":0,"myID":1,"payload":"ca dc f2 83 60 bf 00 18 08 ca dd 05 83 60 b3 00 0f 08 37 5b c6 4b 11 00 0e 00 00 00 00 00 00 00 00 00 00 00 00 00","raw":"ytzyg2C/ABgIyt0Fg2CzAA8IN1vGSxEADgAAAAAAAAAAAAAAAAA=","remoteID":0,"remote_Btn":0,"remote_DidHitMe":0,"remote_compass":0,"remote_distance":0,"remote_lat":-90,"remote_lng":-180,"remote_radioSSN":0,"time":"2017-12-02T14:30:52.524332061Z"</t>
  </si>
  <si>
    <t>ca dc f2 83 60 bf 00 18 08 ca dd 05 83 60 b3 00 0f 08 37 5b c6 4b 11 00 0e 00 00 00 00 00 00 00 00 00 00 00 00 00</t>
  </si>
  <si>
    <t>{"arduino_VCC":0,"arduino_Vbat":3.72,"arduino_tempCPU":-8,"compass":225,"counter":379,"dataSetType":1,"device_id":"lora32u4-nummer-drie","gps_alt":23,"gps_hdop":0.9,"gps_lat":52.63834969033894,"gps_lng":4.749774023877023,"gps_prev_alt":25,"gps_prev_hdop":0.9,"gps_prev_lat":52.638306774992145,"gps_prev_lng":4.749881312243986,"myBtn":0,"myID":3,"payload":"ca dd 09 83 60 ab 00 17 09 ca dd 05 83 60 b0 00 19 09 00 5c ba 4b 31 01 7b 00 00 00 00 00 00 00 00 00 00 00 00 00","raw":"yt0Jg2CrABcJyt0Fg2CwABkJAFy6SzEBewAAAAAAAAAAAAAAAAA=","remoteID":0,"remote_Btn":0,"remote_DidHitMe":0,"remote_compass":0,"remote_distance":0,"remote_lat":-90,"remote_lng":-180,"remote_radioSSN":0,"time":"2017-12-02T14:30:59.618229233Z"</t>
  </si>
  <si>
    <t>ca dd 09 83 60 ab 00 17 09 ca dd 05 83 60 b0 00 19 09 00 5c ba 4b 31 01 7b 00 00 00 00 00 00 00 00 00 00 00 00 00</t>
  </si>
  <si>
    <t>{"arduino_VCC":0,"arduino_Vbat":4.2,"arduino_tempCPU":-7,"compass":225,"counter":23,"dataSetType":1,"device_id":"banaan1","gps_alt":0,"gps_hdop":0.6,"gps_lat":52.63287798362242,"gps_lng":4.75140480705528,"gps_prev_alt":0,"gps_prev_hdop":0.7,"gps_prev_lat":52.63203040552321,"gps_prev_lng":4.750997111260688,"myBtn":0,"myID":8,"payload":"ca db 0b 83 60 f7 00 00 06 ca da bc 83 60 e4 00 00 07 00 5d d2 4b 81 00 17 00 00 00 00 00 00 00 00 00 00 00 00 00","raw":"ytsLg2D3AAAGytq8g2DkAAAHAF3SS4EAFwAAAAAAAAAAAAAAAAA=","remoteID":0,"remote_Btn":0,"remote_DidHitMe":0,"remote_compass":0,"remote_distance":0,"remote_lat":-90,"remote_lng":-180,"remote_radioSSN":0,"time":"2017-12-02T14:31:56.202526934Z"</t>
  </si>
  <si>
    <t>ca db 0b 83 60 f7 00 00 06 ca da bc 83 60 e4 00 00 07 00 5d d2 4b 81 00 17 00 00 00 00 00 00 00 00 00 00 00 00 00</t>
  </si>
  <si>
    <t>{"arduino_VCC":0,"arduino_Vbat":4.14,"arduino_tempCPU":-7,"compass":225,"counter":24,"dataSetType":1,"device_id":"banaan1","gps_alt":0,"gps_hdop":0.7,"gps_lat":52.633339323600495,"gps_lng":4.7502246350183555,"gps_prev_alt":0,"gps_prev_hdop":0.6,"gps_prev_lat":52.63287798362242,"gps_prev_lng":4.75140480705528,"myBtn":0,"myID":8,"payload":"ca db 36 83 60 c0 00 00 07 ca db 0b 83 60 f7 00 00 06 00 5d cf 4b 81 00 18 00 00 00 00 00 00 00 00 00 00 00 00 00","raw":"yts2g2DAAAAHytsLg2D3AAAGAF3PS4EAGAAAAAAAAAAAAAAAAAA=","remoteID":0,"remote_Btn":0,"remote_DidHitMe":0,"remote_compass":0,"remote_distance":0,"remote_lat":-90,"remote_lng":-180,"remote_radioSSN":0,"time":"2017-12-02T14:33:24.624166662Z"</t>
  </si>
  <si>
    <t>ca db 36 83 60 c0 00 00 07 ca db 0b 83 60 f7 00 00 06 00 5d cf 4b 81 00 18 00 00 00 00 00 00 00 00 00 00 00 00 00</t>
  </si>
  <si>
    <t>{"arduino_VCC":0,"arduino_Vbat":4.16,"arduino_tempCPU":-7,"compass":225,"counter":342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56 00 00 00 00 00 00 00 00 00 00 00 00 00","raw":"f///f///AqbKf///f///AqbKAF3QS1EBVgAAAAAAAAAAAAAAAAA=","remoteID":0,"remote_Btn":0,"remote_DidHitMe":0,"remote_compass":0,"remote_distance":0,"remote_lat":-90,"remote_lng":-180,"remote_radioSSN":0,"time":"2017-12-02T14:34:45.104255711Z"</t>
  </si>
  <si>
    <t>7f ff ff 7f ff ff 02 a6 ca 7f ff ff 7f ff ff 02 a6 ca 00 5d d0 4b 51 01 56 00 00 00 00 00 00 00 00 00 00 00 00 00</t>
  </si>
  <si>
    <t>{"arduino_VCC":0,"arduino_Vbat":4.12,"arduino_tempCPU":-7,"compass":225,"counter":25,"dataSetType":1,"device_id":"banaan1","gps_alt":0,"gps_hdop":0.6,"gps_lat":52.63418690169971,"gps_lng":4.749752566203597,"gps_prev_alt":0,"gps_prev_hdop":0.7,"gps_prev_lat":52.633339323600495,"gps_prev_lng":4.7502246350183555,"myBtn":0,"myID":8,"payload":"ca db 85 83 60 aa 00 00 06 ca db 36 83 60 c0 00 00 07 00 5d ce 4b 81 00 19 00 00 00 00 00 00 00 00 00 00 00 00 00","raw":"ytuFg2CqAAAGyts2g2DAAAAHAF3OS4EAGQAAAAAAAAAAAAAAAAA=","remoteID":0,"remote_Btn":0,"remote_DidHitMe":0,"remote_compass":0,"remote_distance":0,"remote_lat":-90,"remote_lng":-180,"remote_radioSSN":0,"time":"2017-12-02T14:34:53.035821155Z"</t>
  </si>
  <si>
    <t>ca db 85 83 60 aa 00 00 06 ca db 36 83 60 c0 00 00 07 00 5d ce 4b 81 00 19 00 00 00 00 00 00 00 00 00 00 00 00 00</t>
  </si>
  <si>
    <t>{"arduino_VCC":1.1,"arduino_Vbat":4,"arduino_tempCPU":-9,"compass":225,"counter":15,"dataSetType":1,"device_id":"lora32u4-nummer-een","gps_alt":18,"gps_hdop":0.8,"gps_lat":52.63803855407468,"gps_lng":4.750095888977967,"gps_prev_alt":24,"gps_prev_hdop":0.8,"gps_prev_lat":52.63810292709488,"gps_prev_lng":4.750203177344986,"myBtn":0,"myID":1,"payload":"ca dc ec 83 60 ba 00 12 08 ca dc f2 83 60 bf 00 18 08 37 5b c8 4b 11 00 0f 00 00 00 00 00 00 00 00 00 00 00 00 00","raw":"ytzsg2C6ABIIytzyg2C/ABgIN1vISxEADwAAAAAAAAAAAAAAAAA=","remoteID":0,"remote_Btn":0,"remote_DidHitMe":0,"remote_compass":0,"remote_distance":0,"remote_lat":-90,"remote_lng":-180,"remote_radioSSN":0,"time":"2017-12-02T14:34:53.571095748Z"</t>
  </si>
  <si>
    <t>ca dc ec 83 60 ba 00 12 08 ca dc f2 83 60 bf 00 18 08 37 5b c8 4b 11 00 0f 00 00 00 00 00 00 00 00 00 00 00 00 00</t>
  </si>
  <si>
    <t>{"arduino_VCC":0,"arduino_Vbat":3.84,"arduino_tempCPU":-7,"compass":225,"counter":380,"dataSetType":1,"device_id":"lora32u4-nummer-drie","gps_alt":46,"gps_hdop":0.9,"gps_lat":52.63817802895176,"gps_lng":4.749967142937578,"gps_prev_alt":23,"gps_prev_hdop":0.9,"gps_prev_lat":52.63834969033894,"gps_prev_lng":4.749774023877023,"myBtn":0,"myID":3,"payload":"ca dc f9 83 60 b4 00 2e 09 ca dd 09 83 60 ab 00 17 09 00 5d c0 4b 31 01 7c 00 00 00 00 00 00 00 00 00 00 00 00 00","raw":"ytz5g2C0AC4Jyt0Jg2CrABcJAF3ASzEBfAAAAAAAAAAAAAAAAAA=","remoteID":0,"remote_Btn":0,"remote_DidHitMe":0,"remote_compass":0,"remote_distance":0,"remote_lat":-90,"remote_lng":-180,"remote_radioSSN":0,"time":"2017-12-02T14:35:00.410486728Z"</t>
  </si>
  <si>
    <t>ca dc f9 83 60 b4 00 2e 09 ca dd 09 83 60 ab 00 17 09 00 5d c0 4b 31 01 7c 00 00 00 00 00 00 00 00 00 00 00 00 00</t>
  </si>
  <si>
    <t>{"arduino_VCC":0,"arduino_Vbat":4.22,"arduino_tempCPU":-7,"compass":225,"counter":26,"dataSetType":1,"device_id":"banaan1","gps_alt":0,"gps_hdop":0.7,"gps_lat":52.63508812398243,"gps_lng":4.748508021146506,"gps_prev_alt":0,"gps_prev_hdop":0.6,"gps_prev_lat":52.63418690169971,"gps_prev_lng":4.749752566203597,"myBtn":0,"myID":8,"payload":"ca db d9 83 60 70 00 00 07 ca db 85 83 60 aa 00 00 06 00 5d d3 4b 81 00 1a 00 00 00 00 00 00 00 00 00 00 00 00 00","raw":"ytvZg2BwAAAHytuFg2CqAAAGAF3TS4EAGgAAAAAAAAAAAAAAAAA=","remoteID":0,"remote_Btn":0,"remote_DidHitMe":0,"remote_compass":0,"remote_distance":0,"remote_lat":-90,"remote_lng":-180,"remote_radioSSN":0,"time":"2017-12-02T14:36:20.932169856Z"</t>
  </si>
  <si>
    <t>ca db d9 83 60 70 00 00 07 ca db 85 83 60 aa 00 00 06 00 5d d3 4b 81 00 1a 00 00 00 00 00 00 00 00 00 00 00 00 00</t>
  </si>
  <si>
    <t>{"arduino_VCC":0,"arduino_Vbat":4.18,"arduino_tempCPU":-7,"compass":225,"counter":27,"dataSetType":1,"device_id":"banaan1","gps_alt":0,"gps_hdop":0.7,"gps_lat":52.636193194162445,"gps_lng":4.7478642909445625,"gps_prev_alt":0,"gps_prev_hdop":0.7,"gps_prev_lat":52.63508812398243,"gps_prev_lng":4.748508021146506,"myBtn":0,"myID":8,"payload":"ca dc 40 83 60 52 00 00 07 ca db d9 83 60 70 00 00 07 00 5d d1 4b 81 00 1b 00 00 00 00 00 00 00 00 00 00 00 00 00","raw":"ytxAg2BSAAAHytvZg2BwAAAHAF3RS4EAGwAAAAAAAAAAAAAAAAA=","remoteID":0,"remote_Btn":0,"remote_DidHitMe":0,"remote_compass":0,"remote_distance":0,"remote_lat":-90,"remote_lng":-180,"remote_radioSSN":0,"time":"2017-12-02T14:37:48.827393084Z"</t>
  </si>
  <si>
    <t>ca dc 40 83 60 52 00 00 07 ca db d9 83 60 70 00 00 07 00 5d d1 4b 81 00 1b 00 00 00 00 00 00 00 00 00 00 00 00 00</t>
  </si>
  <si>
    <t>{"arduino_VCC":0,"arduino_Vbat":4.16,"arduino_tempCPU":-7,"compass":225,"counter":343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57 00 00 00 00 00 00 00 00 00 00 00 00 00","raw":"f///f///AqbKf///f///AqbKAF3QS1EBVwAAAAAAAAAAAAAAAAA=","remoteID":0,"remote_Btn":0,"remote_DidHitMe":0,"remote_compass":0,"remote_distance":0,"remote_lat":-90,"remote_lng":-180,"remote_radioSSN":0,"time":"2017-12-02T14:38:53.799593997Z"</t>
  </si>
  <si>
    <t>7f ff ff 7f ff ff 02 a6 ca 7f ff ff 7f ff ff 02 a6 ca 00 5d d0 4b 51 01 57 00 00 00 00 00 00 00 00 00 00 00 00 00</t>
  </si>
  <si>
    <t>{"arduino_VCC":1.1,"arduino_Vbat":4.02,"arduino_tempCPU":-9,"compass":225,"counter":16,"dataSetType":1,"device_id":"lora32u4-nummer-een","gps_alt":18,"gps_hdop":1.6,"gps_lat":52.63824240197195,"gps_lng":4.749902769917412,"gps_prev_alt":18,"gps_prev_hdop":0.8,"gps_prev_lat":52.63803855407468,"gps_prev_lng":4.750095888977967,"myBtn":0,"myID":1,"payload":"ca dc ff 83 60 b1 00 12 10 ca dc ec 83 60 ba 00 12 08 37 5b c9 4b 11 00 10 00 00 00 00 00 00 00 00 00 00 00 00 00","raw":"ytz/g2CxABIQytzsg2C6ABIIN1vJSxEAEAAAAAAAAAAAAAAAAAA=","remoteID":0,"remote_Btn":0,"remote_DidHitMe":0,"remote_compass":0,"remote_distance":0,"remote_lat":-90,"remote_lng":-180,"remote_radioSSN":0,"time":"2017-12-02T14:38:54.613061695Z"</t>
  </si>
  <si>
    <t>ca dc ff 83 60 b1 00 12 10 ca dc ec 83 60 ba 00 12 08 37 5b c9 4b 11 00 10 00 00 00 00 00 00 00 00 00 00 00 00 00</t>
  </si>
  <si>
    <t>{"arduino_VCC":0,"arduino_Vbat":3.76,"arduino_tempCPU":-7,"compass":225,"counter":381,"dataSetType":1,"device_id":"lora32u4-nummer-drie","gps_alt":0,"gps_hdop":0.9,"gps_lat":52.63863936892983,"gps_lng":4.749838396897189,"gps_prev_alt":46,"gps_prev_hdop":0.9,"gps_prev_lat":52.63817802895176,"gps_prev_lng":4.749967142937578,"myBtn":0,"myID":3,"payload":"ca dd 24 83 60 ae 00 00 09 ca dc f9 83 60 b4 00 2e 09 00 5d bc 4b 31 01 7d 00 00 00 00 00 00 00 00 00 00 00 00 00","raw":"yt0kg2CuAAAJytz5g2C0AC4JAF28SzEBfQAAAAAAAAAAAAAAAAA=","remoteID":0,"remote_Btn":0,"remote_DidHitMe":0,"remote_compass":0,"remote_distance":0,"remote_lat":-90,"remote_lng":-180,"remote_radioSSN":0,"time":"2017-12-02T14:39:01.464611506Z"</t>
  </si>
  <si>
    <t>ca dd 24 83 60 ae 00 00 09 ca dc f9 83 60 b4 00 2e 09 00 5d bc 4b 31 01 7d 00 00 00 00 00 00 00 00 00 00 00 00 00</t>
  </si>
  <si>
    <t>{"arduino_VCC":0,"arduino_Vbat":4.1,"arduino_tempCPU":-7,"compass":225,"counter":28,"dataSetType":1,"device_id":"banaan1","gps_alt":0,"gps_hdop":1,"gps_lat":52.63718024713876,"gps_lng":4.748357817432748,"gps_prev_alt":0,"gps_prev_hdop":0.7,"gps_prev_lat":52.636193194162445,"gps_prev_lng":4.7478642909445625,"myBtn":0,"myID":8,"payload":"ca dc 9c 83 60 69 00 00 0a ca dc 40 83 60 52 00 00 07 00 5d cd 4b 81 00 1c 00 00 00 00 00 00 00 00 00 00 00 00 00","raw":"ytycg2BpAAAKytxAg2BSAAAHAF3NS4EAHAAAAAAAAAAAAAAAAAA=","remoteID":0,"remote_Btn":0,"remote_DidHitMe":0,"remote_compass":0,"remote_distance":0,"remote_lat":-90,"remote_lng":-180,"remote_radioSSN":0,"time":"2017-12-02T14:39:16.98361613Z"</t>
  </si>
  <si>
    <t>ca dc 9c 83 60 69 00 00 0a ca dc 40 83 60 52 00 00 07 00 5d cd 4b 81 00 1c 00 00 00 00 00 00 00 00 00 00 00 00 00</t>
  </si>
  <si>
    <t>{"arduino_VCC":0,"arduino_Vbat":4.12,"arduino_tempCPU":-7,"compass":225,"counter":29,"dataSetType":1,"device_id":"banaan1","gps_alt":1,"gps_hdop":0.8,"gps_lat":52.63773814664711,"gps_lng":4.750031515957801,"gps_prev_alt":0,"gps_prev_hdop":1,"gps_prev_lat":52.63718024713876,"gps_prev_lng":4.748357817432748,"myBtn":0,"myID":8,"payload":"ca dc d0 83 60 b7 00 01 08 ca dc 9c 83 60 69 00 00 0a 00 5d ce 4b 81 00 1d 00 00 00 00 00 00 00 00 00 00 00 00 00","raw":"ytzQg2C3AAEIytycg2BpAAAKAF3OS4EAHQAAAAAAAAAAAAAAAAA=","remoteID":0,"remote_Btn":0,"remote_DidHitMe":0,"remote_compass":0,"remote_distance":0,"remote_lat":-90,"remote_lng":-180,"remote_radioSSN":0,"time":"2017-12-02T14:40:44.67719089Z"</t>
  </si>
  <si>
    <t>ca dc d0 83 60 b7 00 01 08 ca dc 9c 83 60 69 00 00 0a 00 5d ce 4b 81 00 1d 00 00 00 00 00 00 00 00 00 00 00 00 00</t>
  </si>
  <si>
    <t>{"arduino_VCC":0,"arduino_Vbat":4.12,"arduino_tempCPU":-7,"compass":225,"counter":30,"dataSetType":1,"device_id":"banaan1","gps_alt":0,"gps_hdop":0.6,"gps_lat":52.63842479219585,"gps_lng":4.749774023877023,"gps_prev_alt":1,"gps_prev_hdop":0.8,"gps_prev_lat":52.63773814664711,"gps_prev_lng":4.750031515957801,"myBtn":0,"myID":8,"payload":"ca dd 10 83 60 ab 00 00 06 ca dc d0 83 60 b7 00 01 08 00 5d ce 4b 81 00 1e 00 00 00 00 00 00 00 00 00 00 00 00 00","raw":"yt0Qg2CrAAAGytzQg2C3AAEIAF3OS4EAHgAAAAAAAAAAAAAAAAA=","remoteID":0,"remote_Btn":0,"remote_DidHitMe":0,"remote_compass":0,"remote_distance":0,"remote_lat":-90,"remote_lng":-180,"remote_radioSSN":0,"time":"2017-12-02T14:42:13.029153773Z"</t>
  </si>
  <si>
    <t>ca dd 10 83 60 ab 00 00 06 ca dc d0 83 60 b7 00 01 08 00 5d ce 4b 81 00 1e 00 00 00 00 00 00 00 00 00 00 00 00 00</t>
  </si>
  <si>
    <t>{"arduino_VCC":1.1,"arduino_Vbat":4.02,"arduino_tempCPU":-9,"compass":225,"counter":17,"dataSetType":1,"device_id":"lora32u4-nummer-een","gps_alt":6,"gps_hdop":1.1,"gps_lat":52.63826385964535,"gps_lng":4.749859854570616,"gps_prev_alt":18,"gps_prev_hdop":1.6,"gps_prev_lat":52.63824240197195,"gps_prev_lng":4.749902769917412,"myBtn":0,"myID":1,"payload":"ca dd 01 83 60 af 00 06 0b ca dc ff 83 60 b1 00 12 10 37 5b c9 4b 11 00 11 00 00 00 00 00 00 00 00 00 00 00 00 00","raw":"yt0Bg2CvAAYLytz/g2CxABIQN1vJSxEAEQAAAAAAAAAAAAAAAAA=","remoteID":0,"remote_Btn":0,"remote_DidHitMe":0,"remote_compass":0,"remote_distance":0,"remote_lat":-90,"remote_lng":-180,"remote_radioSSN":0,"time":"2017-12-02T14:42:55.414546038Z"</t>
  </si>
  <si>
    <t>ca dd 01 83 60 af 00 06 0b ca dc ff 83 60 b1 00 12 10 37 5b c9 4b 11 00 11 00 00 00 00 00 00 00 00 00 00 00 00 00</t>
  </si>
  <si>
    <t>{"arduino_VCC":0,"arduino_Vbat":4.14,"arduino_tempCPU":-7,"compass":225,"counter":344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58 00 00 00 00 00 00 00 00 00 00 00 00 00","raw":"f///f///AqbKf///f///AqbKAF3PS1EBWAAAAAAAAAAAAAAAAAA=","remoteID":0,"remote_Btn":0,"remote_DidHitMe":0,"remote_compass":0,"remote_distance":0,"remote_lat":-90,"remote_lng":-180,"remote_radioSSN":0,"time":"2017-12-02T14:43:02.261795131Z"</t>
  </si>
  <si>
    <t>7f ff ff 7f ff ff 02 a6 ca 7f ff ff 7f ff ff 02 a6 ca 00 5d cf 4b 51 01 58 00 00 00 00 00 00 00 00 00 00 00 00 00</t>
  </si>
  <si>
    <t>{"arduino_VCC":0,"arduino_Vbat":3.76,"arduino_tempCPU":-6,"compass":225,"counter":382,"dataSetType":1,"device_id":"lora32u4-nummer-drie","gps_alt":0,"gps_hdop":1.1,"gps_lat":52.638253130808664,"gps_lng":4.749838396897189,"gps_prev_alt":0,"gps_prev_hdop":0.9,"gps_prev_lat":52.63863936892983,"gps_prev_lng":4.749838396897189,"myBtn":0,"myID":3,"payload":"ca dd 00 83 60 ae 00 00 0b ca dd 24 83 60 ae 00 00 09 00 5e bc 4b 31 01 7e 00 00 00 00 00 00 00 00 00 00 00 00 00","raw":"yt0Ag2CuAAALyt0kg2CuAAAJAF68SzEBfgAAAAAAAAAAAAAAAAA=","remoteID":0,"remote_Btn":0,"remote_DidHitMe":0,"remote_compass":0,"remote_distance":0,"remote_lat":-90,"remote_lng":-180,"remote_radioSSN":0,"time":"2017-12-02T14:43:02.514537383Z"</t>
  </si>
  <si>
    <t>ca dd 00 83 60 ae 00 00 0b ca dd 24 83 60 ae 00 00 09 00 5e bc 4b 31 01 7e 00 00 00 00 00 00 00 00 00 00 00 00 00</t>
  </si>
  <si>
    <t>{"arduino_VCC":0,"arduino_Vbat":4.14,"arduino_tempCPU":-5,"compass":225,"counter":32,"dataSetType":1,"device_id":"banaan1","gps_alt":0,"gps_hdop":0.8,"gps_lat":52.63844624986925,"gps_lng":4.749688193183431,"gps_prev_alt":0,"gps_prev_hdop":1.1,"gps_prev_lat":52.63849989405273,"gps_prev_lng":4.749645277836635,"myBtn":0,"myID":8,"payload":"ca dd 12 83 60 a7 00 00 08 ca dd 17 83 60 a5 00 00 0b 00 5f cf 4b 81 00 20 00 00 00 00 00 00 00 00 00 00 00 00 00","raw":"yt0Sg2CnAAAIyt0Xg2ClAAALAF/PS4EAIAAAAAAAAAAAAAAAAAA=","remoteID":0,"remote_Btn":0,"remote_DidHitMe":0,"remote_compass":0,"remote_distance":0,"remote_lat":-90,"remote_lng":-180,"remote_radioSSN":0,"time":"2017-12-02T14:45:08.802773531Z"</t>
  </si>
  <si>
    <t>ca dd 12 83 60 a7 00 00 08 ca dd 17 83 60 a5 00 00 0b 00 5f cf 4b 81 00 20 00 00 00 00 00 00 00 00 00 00 00 00 00</t>
  </si>
  <si>
    <t>{"arduino_VCC":1.7,"arduino_Vbat":4.1,"arduino_tempCPU":-7,"compass":225,"counter":33,"dataSetType":1,"device_id":"banaan1","gps_alt":0,"gps_hdop":0.9,"gps_lat":52.63844624986925,"gps_lng":4.749709650856801,"gps_prev_alt":0,"gps_prev_hdop":0.8,"gps_prev_lat":52.63844624986925,"gps_prev_lng":4.749688193183431,"myBtn":0,"myID":8,"payload":"ca dd 12 83 60 a8 00 00 09 ca dd 12 83 60 a7 00 00 08 55 5d cd 4b 81 00 21 00 00 00 00 00 00 00 00 00 00 00 00 00","raw":"yt0Sg2CoAAAJyt0Sg2CnAAAIVV3NS4EAIQAAAAAAAAAAAAAAAAA=","remoteID":0,"remote_Btn":0,"remote_DidHitMe":0,"remote_compass":0,"remote_distance":0,"remote_lat":-90,"remote_lng":-180,"remote_radioSSN":0,"time":"2017-12-02T14:45:47.785319508Z"</t>
  </si>
  <si>
    <t>ca dd 12 83 60 a8 00 00 09 ca dd 12 83 60 a7 00 00 08 55 5d cd 4b 81 00 21 00 00 00 00 00 00 00 00 00 00 00 00 00</t>
  </si>
  <si>
    <t>ca dc fd 83 60 b6 00 05 08 00 00 00 00 00 00 00 00 00 00 5b d4 4b 81 00 00 00 00 00 00 00 00 00 00 00 00 00 00 00</t>
  </si>
  <si>
    <t>{"arduino_VCC":0,"arduino_Vbat":4.24,"arduino_tempCPU":-9,"compass":225,"counter":0,"dataSetType":1,"device_id":"banaan1","gps_alt":5,"gps_hdop":0.8,"gps_lat":52.63822094429855,"gps_lng":4.750010058284374,"gps_prev_alt":0,"gps_prev_hdop":0,"gps_prev_lat":-90,"gps_prev_lng":-180,"myBtn":0,"myID":8,"payload":"ca dc fd 83 60 b6 00 05 08 00 00 00 00 00 00 00 00 00 00 5b d4 4b 81 00 00 00 00 00 00 00 00 00 00 00 00 00 00 00","raw":"ytz9g2C2AAUIAAAAAAAAAAAAAFvUS4EAAAAAAAAAAAAAAAAAAAA=","remoteID":0,"remote_Btn":0,"remote_DidHitMe":0,"remote_compass":0,"remote_distance":0,"remote_lat":-90,"remote_lng":-180,"remote_radioSSN":0,"time":"2017-12-02T14:46:29.633078089Z"</t>
  </si>
  <si>
    <t>{"arduino_VCC":1.1,"arduino_Vbat":3.92,"arduino_tempCPU":-9,"compass":225,"counter":18,"dataSetType":1,"device_id":"lora32u4-nummer-een","gps_alt":0,"gps_hdop":1,"gps_lat":52.63839260568574,"gps_lng":4.74981693922382,"gps_prev_alt":6,"gps_prev_hdop":1.1,"gps_prev_lat":52.63826385964535,"gps_prev_lng":4.749859854570616,"myBtn":0,"myID":1,"payload":"ca dd 0d 83 60 ad 00 00 0a ca dd 01 83 60 af 00 06 0b 37 5b c4 4b 11 00 12 00 00 00 00 00 00 00 00 00 00 00 00 00","raw":"yt0Ng2CtAAAKyt0Bg2CvAAYLN1vESxEAEgAAAAAAAAAAAAAAAAA=","remoteID":0,"remote_Btn":0,"remote_DidHitMe":0,"remote_compass":0,"remote_distance":0,"remote_lat":-90,"remote_lng":-180,"remote_radioSSN":0,"time":"2017-12-02T14:46:56.440227098Z"</t>
  </si>
  <si>
    <t>ca dd 0d 83 60 ad 00 00 0a ca dd 01 83 60 af 00 06 0b 37 5b c4 4b 11 00 12 00 00 00 00 00 00 00 00 00 00 00 00 00</t>
  </si>
  <si>
    <t>{"arduino_VCC":0,"arduino_Vbat":3.78,"arduino_tempCPU":-7,"compass":225,"counter":383,"dataSetType":1,"device_id":"lora32u4-nummer-drie","gps_alt":11,"gps_hdop":1.1,"gps_lat":52.638360419175655,"gps_lng":4.749752566203597,"gps_prev_alt":0,"gps_prev_hdop":1.1,"gps_prev_lat":52.638253130808664,"gps_prev_lng":4.749838396897189,"myBtn":0,"myID":3,"payload":"ca dd 0a 83 60 aa 00 0b 0b ca dd 00 83 60 ae 00 00 0b 00 5d bd 4b 31 01 7f 00 00 00 00 00 00 00 00 00 00 00 00 00","raw":"yt0Kg2CqAAsLyt0Ag2CuAAALAF29SzEBfwAAAAAAAAAAAAAAAAA=","remoteID":0,"remote_Btn":0,"remote_DidHitMe":0,"remote_compass":0,"remote_distance":0,"remote_lat":-90,"remote_lng":-180,"remote_radioSSN":0,"time":"2017-12-02T14:47:03.577946734Z"</t>
  </si>
  <si>
    <t>ca dd 0a 83 60 aa 00 0b 0b ca dd 00 83 60 ae 00 00 0b 00 5d bd 4b 31 01 7f 00 00 00 00 00 00 00 00 00 00 00 00 00</t>
  </si>
  <si>
    <t>{"arduino_VCC":0,"arduino_Vbat":4.14,"arduino_tempCPU":-7,"compass":225,"counter":345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59 00 00 00 00 00 00 00 00 00 00 00 00 00","raw":"f///f///AqbKf///f///AqbKAF3PS1EBWQAAAAAAAAAAAAAAAAA=","remoteID":0,"remote_Btn":0,"remote_DidHitMe":0,"remote_compass":0,"remote_distance":0,"remote_lat":-90,"remote_lng":-180,"remote_radioSSN":0,"time":"2017-12-02T14:47:10.682635658Z"</t>
  </si>
  <si>
    <t>7f ff ff 7f ff ff 02 a6 ca 7f ff ff 7f ff ff 02 a6 ca 00 5d cf 4b 51 01 59 00 00 00 00 00 00 00 00 00 00 00 00 00</t>
  </si>
  <si>
    <t>{"arduino_VCC":0,"arduino_Vbat":4.22,"arduino_tempCPU":-8,"compass":225,"counter":1,"dataSetType":1,"device_id":"banaan1","gps_alt":0,"gps_hdop":1.1,"gps_lat":52.638435521032534,"gps_lng":4.749709650856801,"gps_prev_alt":5,"gps_prev_hdop":0.8,"gps_prev_lat":52.63822094429855,"gps_prev_lng":4.750010058284374,"myBtn":0,"myID":8,"payload":"ca dd 11 83 60 a8 00 00 0b ca dc fd 83 60 b6 00 05 08 00 5c d3 4b 81 00 01 00 00 00 00 00 00 00 00 00 00 00 00 00","raw":"yt0Rg2CoAAALytz9g2C2AAUIAFzTS4EAAQAAAAAAAAAAAAAAAAA=","remoteID":0,"remote_Btn":0,"remote_DidHitMe":0,"remote_compass":0,"remote_distance":0,"remote_lat":-90,"remote_lng":-180,"remote_radioSSN":0,"time":"2017-12-02T14:50:30.438507063Z"</t>
  </si>
  <si>
    <t>ca dd 11 83 60 a8 00 00 0b ca dc fd 83 60 b6 00 05 08 00 5c d3 4b 81 00 01 00 00 00 00 00 00 00 00 00 00 00 00 00</t>
  </si>
  <si>
    <t>{"arduino_VCC":1.1,"arduino_Vbat":3.94,"arduino_tempCPU":-9,"compass":225,"counter":19,"dataSetType":1,"device_id":"lora32u4-nummer-een","gps_alt":6,"gps_hdop":1,"gps_lat":52.638360419175655,"gps_lng":4.749838396897189,"gps_prev_alt":0,"gps_prev_hdop":1,"gps_prev_lat":52.63839260568574,"gps_prev_lng":4.74981693922382,"myBtn":0,"myID":1,"payload":"ca dd 0a 83 60 ae 00 06 0a ca dd 0d 83 60 ad 00 00 0a 37 5b c5 4b 11 00 13 00 00 00 00 00 00 00 00 00 00 00 00 00","raw":"yt0Kg2CuAAYKyt0Ng2CtAAAKN1vFSxEAEwAAAAAAAAAAAAAAAAA=","remoteID":0,"remote_Btn":0,"remote_DidHitMe":0,"remote_compass":0,"remote_distance":0,"remote_lat":-90,"remote_lng":-180,"remote_radioSSN":0,"time":"2017-12-02T14:50:57.505610306Z"</t>
  </si>
  <si>
    <t>ca dd 0a 83 60 ae 00 06 0a ca dd 0d 83 60 ad 00 00 0a 37 5b c5 4b 11 00 13 00 00 00 00 00 00 00 00 00 00 00 00 00</t>
  </si>
  <si>
    <t>{"arduino_VCC":0,"arduino_Vbat":3.76,"arduino_tempCPU":-7,"compass":225,"counter":384,"dataSetType":1,"device_id":"lora32u4-nummer-drie","gps_alt":0,"gps_hdop":0.9,"gps_lat":52.63848916521604,"gps_lng":4.749731108530227,"gps_prev_alt":11,"gps_prev_hdop":1.1,"gps_prev_lat":52.638360419175655,"gps_prev_lng":4.749752566203597,"myBtn":0,"myID":3,"payload":"ca dd 16 83 60 a9 00 00 09 ca dd 0a 83 60 aa 00 0b 0b 00 5d bc 4b 31 01 80 00 00 00 00 00 00 00 00 00 00 00 00 00","raw":"yt0Wg2CpAAAJyt0Kg2CqAAsLAF28SzEBgAAAAAAAAAAAAAAAAAA=","remoteID":0,"remote_Btn":0,"remote_DidHitMe":0,"remote_compass":0,"remote_distance":0,"remote_lat":-90,"remote_lng":-180,"remote_radioSSN":0,"time":"2017-12-02T14:51:04.610717242Z"</t>
  </si>
  <si>
    <t>ca dd 16 83 60 a9 00 00 09 ca dd 0a 83 60 aa 00 0b 0b 00 5d bc 4b 31 01 80 00 00 00 00 00 00 00 00 00 00 00 00 00</t>
  </si>
  <si>
    <t>{"arduino_VCC":0,"arduino_Vbat":4.14,"arduino_tempCPU":-7,"compass":225,"counter":346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5a 00 00 00 00 00 00 00 00 00 00 00 00 00","raw":"f///f///AqbKf///f///AqbKAF3PS1EBWgAAAAAAAAAAAAAAAAA=","remoteID":0,"remote_Btn":0,"remote_DidHitMe":0,"remote_compass":0,"remote_distance":0,"remote_lat":-90,"remote_lng":-180,"remote_radioSSN":0,"time":"2017-12-02T14:51:19.376986082Z"</t>
  </si>
  <si>
    <t>7f ff ff 7f ff ff 02 a6 ca 7f ff ff 7f ff ff 02 a6 ca 00 5d cf 4b 51 01 5a 00 00 00 00 00 00 00 00 00 00 00 00 00</t>
  </si>
  <si>
    <t>{"arduino_VCC":0,"arduino_Vbat":4.24,"arduino_tempCPU":-8,"compass":225,"counter":2,"dataSetType":1,"device_id":"banaan1","gps_alt":0,"gps_hdop":0.9,"gps_lat":52.638360419175655,"gps_lng":4.749795481550393,"gps_prev_alt":0,"gps_prev_hdop":1.1,"gps_prev_lat":52.638435521032534,"gps_prev_lng":4.749709650856801,"myBtn":0,"myID":8,"payload":"ca dd 0a 83 60 ac 00 00 09 ca dd 11 83 60 a8 00 00 0b 00 5c d4 4b 81 00 02 00 00 00 00 00 00 00 00 00 00 00 00 00","raw":"yt0Kg2CsAAAJyt0Rg2CoAAALAFzUS4EAAgAAAAAAAAAAAAAAAAA=","remoteID":0,"remote_Btn":0,"remote_DidHitMe":0,"remote_compass":0,"remote_distance":0,"remote_lat":-90,"remote_lng":-180,"remote_radioSSN":0,"time":"2017-12-02T14:54:31.488447393Z"</t>
  </si>
  <si>
    <t>ca dd 0a 83 60 ac 00 00 09 ca dd 11 83 60 a8 00 00 0b 00 5c d4 4b 81 00 02 00 00 00 00 00 00 00 00 00 00 00 00 00</t>
  </si>
  <si>
    <t>{"arduino_VCC":1.1,"arduino_Vbat":3.9,"arduino_tempCPU":-9,"compass":225,"counter":20,"dataSetType":1,"device_id":"lora32u4-nummer-een","gps_alt":2,"gps_hdop":0.9,"gps_lat":52.63842479219585,"gps_lng":4.749623820163208,"gps_prev_alt":6,"gps_prev_hdop":1,"gps_prev_lat":52.638360419175655,"gps_prev_lng":4.749838396897189,"myBtn":0,"myID":1,"payload":"ca dd 10 83 60 a4 00 02 09 ca dd 0a 83 60 ae 00 06 0a 37 5b c3 4b 11 00 14 00 00 00 00 00 00 00 00 00 00 00 00 00","raw":"yt0Qg2CkAAIJyt0Kg2CuAAYKN1vDSxEAFAAAAAAAAAAAAAAAAAA=","remoteID":0,"remote_Btn":0,"remote_DidHitMe":0,"remote_compass":0,"remote_distance":0,"remote_lat":-90,"remote_lng":-180,"remote_radioSSN":0,"time":"2017-12-02T14:54:58.562719584Z"</t>
  </si>
  <si>
    <t>ca dd 10 83 60 a4 00 02 09 ca dd 0a 83 60 ae 00 06 0a 37 5b c3 4b 11 00 14 00 00 00 00 00 00 00 00 00 00 00 00 00</t>
  </si>
  <si>
    <t>{"arduino_VCC":0,"arduino_Vbat":4.1,"arduino_tempCPU":-6,"compass":225,"counter":347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cd 4b 51 01 5b 00 00 00 00 00 00 00 00 00 00 00 00 00","raw":"f///f///AqbKf///f///AqbKAF7NS1EBWwAAAAAAAAAAAAAAAAA=","remoteID":0,"remote_Btn":0,"remote_DidHitMe":0,"remote_compass":0,"remote_distance":0,"remote_lat":-90,"remote_lng":-180,"remote_radioSSN":0,"time":"2017-12-02T14:55:27.81803935Z"</t>
  </si>
  <si>
    <t>7f ff ff 7f ff ff 02 a6 ca 7f ff ff 7f ff ff 02 a6 ca 00 5e cd 4b 51 01 5b 00 00 00 00 00 00 00 00 00 00 00 00 00</t>
  </si>
  <si>
    <t>{"arduino_VCC":0,"arduino_Vbat":4.24,"arduino_tempCPU":-6,"compass":225,"counter":3,"dataSetType":1,"device_id":"banaan1","gps_alt":22,"gps_hdop":0.7,"gps_lat":52.63816730011507,"gps_lng":4.749688193183431,"gps_prev_alt":0,"gps_prev_hdop":0.9,"gps_prev_lat":52.638360419175655,"gps_prev_lng":4.749795481550393,"myBtn":0,"myID":8,"payload":"ca dc f8 83 60 a7 00 16 07 ca dd 0a 83 60 ac 00 00 09 00 5e d4 4b 81 00 03 00 00 00 00 00 00 00 00 00 00 00 00 00","raw":"ytz4g2CnABYHyt0Kg2CsAAAJAF7US4EAAwAAAAAAAAAAAAAAAAA=","remoteID":0,"remote_Btn":0,"remote_DidHitMe":0,"remote_compass":0,"remote_distance":0,"remote_lat":-90,"remote_lng":-180,"remote_radioSSN":0,"time":"2017-12-02T14:58:32.551221577Z"</t>
  </si>
  <si>
    <t>ca dc f8 83 60 a7 00 16 07 ca dd 0a 83 60 ac 00 00 09 00 5e d4 4b 81 00 03 00 00 00 00 00 00 00 00 00 00 00 00 00</t>
  </si>
  <si>
    <t>{"arduino_VCC":1.1,"arduino_Vbat":3.96,"arduino_tempCPU":-9,"compass":225,"counter":21,"dataSetType":1,"device_id":"lora32u4-nummer-een","gps_alt":18,"gps_hdop":1.5,"gps_lat":52.63844624986925,"gps_lng":4.749709650856801,"gps_prev_alt":2,"gps_prev_hdop":0.9,"gps_prev_lat":52.63842479219585,"gps_prev_lng":4.749623820163208,"myBtn":0,"myID":1,"payload":"ca dd 12 83 60 a8 00 12 0f ca dd 10 83 60 a4 00 02 09 37 5b c6 4b 11 00 15 00 00 00 00 00 00 00 00 00 00 00 00 00","raw":"yt0Sg2CoABIPyt0Qg2CkAAIJN1vGSxEAFQAAAAAAAAAAAAAAAAA=","remoteID":0,"remote_Btn":0,"remote_DidHitMe":0,"remote_compass":0,"remote_distance":0,"remote_lat":-90,"remote_lng":-180,"remote_radioSSN":0,"time":"2017-12-02T14:58:59.609962917Z"</t>
  </si>
  <si>
    <t>ca dd 12 83 60 a8 00 12 0f ca dd 10 83 60 a4 00 02 09 37 5b c6 4b 11 00 15 00 00 00 00 00 00 00 00 00 00 00 00 00</t>
  </si>
  <si>
    <t>{"arduino_VCC":0,"arduino_Vbat":3.82,"arduino_tempCPU":-7,"compass":225,"counter":386,"dataSetType":1,"device_id":"lora32u4-nummer-drie","gps_alt":0,"gps_hdop":1,"gps_lat":52.63851062288944,"gps_lng":4.749623820163208,"gps_prev_alt":51,"gps_prev_hdop":1,"gps_prev_lat":52.63845697870593,"gps_prev_lng":4.749194666695246,"myBtn":0,"myID":3,"payload":"ca dd 18 83 60 a4 00 00 0a ca dd 13 83 60 90 00 33 0a 00 5d bf 4b 31 01 82 00 00 00 00 00 00 00 00 00 00 00 00 00","raw":"yt0Yg2CkAAAKyt0Tg2CQADMKAF2/SzEBggAAAAAAAAAAAAAAAAA=","remoteID":0,"remote_Btn":0,"remote_DidHitMe":0,"remote_compass":0,"remote_distance":0,"remote_lat":-90,"remote_lng":-180,"remote_radioSSN":0,"time":"2017-12-02T14:59:06.450015292Z"</t>
  </si>
  <si>
    <t>ca dd 18 83 60 a4 00 00 0a ca dd 13 83 60 90 00 33 0a 00 5d bf 4b 31 01 82 00 00 00 00 00 00 00 00 00 00 00 00 00</t>
  </si>
  <si>
    <t>{"arduino_VCC":0,"arduino_Vbat":4.14,"arduino_tempCPU":-7,"compass":225,"counter":348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5c 00 00 00 00 00 00 00 00 00 00 00 00 00","raw":"f///f///AqbKf///f///AqbKAF3PS1EBXAAAAAAAAAAAAAAAAAA=","remoteID":0,"remote_Btn":0,"remote_DidHitMe":0,"remote_compass":0,"remote_distance":0,"remote_lat":-90,"remote_lng":-180,"remote_radioSSN":0,"time":"2017-12-02T14:59:36.264762099Z"</t>
  </si>
  <si>
    <t>7f ff ff 7f ff ff 02 a6 ca 7f ff ff 7f ff ff 02 a6 ca 00 5d cf 4b 51 01 5c 00 00 00 00 00 00 00 00 00 00 00 00 00</t>
  </si>
  <si>
    <t>{"arduino_VCC":1.1,"arduino_Vbat":4,"arduino_tempCPU":-9,"compass":225,"counter":22,"dataSetType":1,"device_id":"lora32u4-nummer-een","gps_alt":0,"gps_hdop":1.4,"gps_lat":52.63853208056284,"gps_lng":4.749666735510004,"gps_prev_alt":18,"gps_prev_hdop":1.5,"gps_prev_lat":52.63844624986925,"gps_prev_lng":4.749709650856801,"myBtn":0,"myID":1,"payload":"ca dd 1a 83 60 a6 00 00 0e ca dd 12 83 60 a8 00 12 0f 37 5b c8 4b 11 00 16 00 00 00 00 00 00 00 00 00 00 00 00 00","raw":"yt0ag2CmAAAOyt0Sg2CoABIPN1vISxEAFgAAAAAAAAAAAAAAAAA=","remoteID":0,"remote_Btn":0,"remote_DidHitMe":0,"remote_compass":0,"remote_distance":0,"remote_lat":-90,"remote_lng":-180,"remote_radioSSN":0,"time":"2017-12-02T15:03:00.39906264Z"</t>
  </si>
  <si>
    <t>ca dd 1a 83 60 a6 00 00 0e ca dd 12 83 60 a8 00 12 0f 37 5b c8 4b 11 00 16 00 00 00 00 00 00 00 00 00 00 00 00 00</t>
  </si>
  <si>
    <t>{"arduino_VCC":0,"arduino_Vbat":3.72,"arduino_tempCPU":-8,"compass":225,"counter":387,"dataSetType":1,"device_id":"lora32u4-nummer-drie","gps_alt":0,"gps_hdop":2.2,"gps_lat":52.63840333452245,"gps_lng":4.749774023877023,"gps_prev_alt":0,"gps_prev_hdop":1,"gps_prev_lat":52.63851062288944,"gps_prev_lng":4.749623820163208,"myBtn":0,"myID":3,"payload":"ca dd 0e 83 60 ab 00 00 16 ca dd 18 83 60 a4 00 00 0a 00 5c ba 4b 31 01 83 00 00 00 00 00 00 00 00 00 00 00 00 00","raw":"yt0Og2CrAAAWyt0Yg2CkAAAKAFy6SzEBgwAAAAAAAAAAAAAAAAA=","remoteID":0,"remote_Btn":0,"remote_DidHitMe":0,"remote_compass":0,"remote_distance":0,"remote_lat":-90,"remote_lng":-180,"remote_radioSSN":0,"time":"2017-12-02T15:03:07.501758284Z"</t>
  </si>
  <si>
    <t>ca dd 0e 83 60 ab 00 00 16 ca dd 18 83 60 a4 00 00 0a 00 5c ba 4b 31 01 83 00 00 00 00 00 00 00 00 00 00 00 00 00</t>
  </si>
  <si>
    <t>{"arduino_VCC":0,"arduino_Vbat":4.14,"arduino_tempCPU":-7,"compass":225,"counter":349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5d 00 00 00 00 00 00 00 00 00 00 00 00 00","raw":"f///f///AqbKf///f///AqbKAF3PS1EBXQAAAAAAAAAAAAAAAAA=","remoteID":0,"remote_Btn":0,"remote_DidHitMe":0,"remote_compass":0,"remote_distance":0,"remote_lat":-90,"remote_lng":-180,"remote_radioSSN":0,"time":"2017-12-02T15:03:44.949518545Z"</t>
  </si>
  <si>
    <t>7f ff ff 7f ff ff 02 a6 ca 7f ff ff 7f ff ff 02 a6 ca 00 5d cf 4b 51 01 5d 00 00 00 00 00 00 00 00 00 00 00 00 00</t>
  </si>
  <si>
    <t>{"arduino_VCC":1.7,"arduino_Vbat":4.28,"arduino_tempCPU":-4,"compass":225,"counter":5,"dataSetType":1,"device_id":"banaan1","gps_alt":24,"gps_hdop":0.7,"gps_lat":52.638199486625155,"gps_lng":4.749859854570616,"gps_prev_alt":23,"gps_prev_hdop":0.7,"gps_prev_lat":52.63815657127836,"gps_prev_lng":4.749945685264208,"myBtn":0,"myID":8,"payload":"ca dc fb 83 60 af 00 18 07 ca dc f7 83 60 b3 00 17 07 55 60 d6 4b 81 00 05 00 00 00 00 00 00 00 00 00 00 00 00 00","raw":"ytz7g2CvABgHytz3g2CzABcHVWDWS4EABQAAAAAAAAAAAAAAAAA=","remoteID":0,"remote_Btn":0,"remote_DidHitMe":0,"remote_compass":0,"remote_distance":0,"remote_lat":-90,"remote_lng":-180,"remote_radioSSN":0,"time":"2017-12-02T15:06:34.632077129Z"</t>
  </si>
  <si>
    <t>ca dc fb 83 60 af 00 18 07 ca dc f7 83 60 b3 00 17 07 55 60 d6 4b 81 00 05 00 00 00 00 00 00 00 00 00 00 00 00 00</t>
  </si>
  <si>
    <t>{"arduino_VCC":1.1,"arduino_Vbat":4,"arduino_tempCPU":-9,"compass":225,"counter":23,"dataSetType":1,"device_id":"lora32u4-nummer-een","gps_alt":0,"gps_hdop":1.1,"gps_lat":52.63845697870593,"gps_lng":4.749731108530227,"gps_prev_alt":0,"gps_prev_hdop":1.4,"gps_prev_lat":52.63853208056284,"gps_prev_lng":4.749666735510004,"myBtn":0,"myID":1,"payload":"ca dd 13 83 60 a9 00 00 0b ca dd 1a 83 60 a6 00 00 0e 37 5b c8 4b 11 00 17 00 00 00 00 00 00 00 00 00 00 00 00 00","raw":"yt0Tg2CpAAALyt0ag2CmAAAON1vISxEAFwAAAAAAAAAAAAAAAAA=","remoteID":0,"remote_Btn":0,"remote_DidHitMe":0,"remote_compass":0,"remote_distance":0,"remote_lat":-90,"remote_lng":-180,"remote_radioSSN":0,"time":"2017-12-02T15:07:01.456643057Z"</t>
  </si>
  <si>
    <t>ca dd 13 83 60 a9 00 00 0b ca dd 1a 83 60 a6 00 00 0e 37 5b c8 4b 11 00 17 00 00 00 00 00 00 00 00 00 00 00 00 00</t>
  </si>
  <si>
    <t>{"arduino_VCC":0,"arduino_Vbat":3.84,"arduino_tempCPU":-7,"compass":225,"counter":388,"dataSetType":1,"device_id":"lora32u4-nummer-drie","gps_alt":38,"gps_hdop":1.5,"gps_lat":52.63824240197195,"gps_lng":4.749666735510004,"gps_prev_alt":0,"gps_prev_hdop":2.2,"gps_prev_lat":52.63840333452245,"gps_prev_lng":4.749774023877023,"myBtn":0,"myID":3,"payload":"ca dc ff 83 60 a6 00 26 0f ca dd 0e 83 60 ab 00 00 16 00 5d c0 4b 31 01 84 00 00 00 00 00 00 00 00 00 00 00 00 00","raw":"ytz/g2CmACYPyt0Og2CrAAAWAF3ASzEBhAAAAAAAAAAAAAAAAAA=","remoteID":0,"remote_Btn":0,"remote_DidHitMe":0,"remote_compass":0,"remote_distance":0,"remote_lat":-90,"remote_lng":-180,"remote_radioSSN":0,"time":"2017-12-02T15:07:08.547700547Z"</t>
  </si>
  <si>
    <t>ca dc ff 83 60 a6 00 26 0f ca dd 0e 83 60 ab 00 00 16 00 5d c0 4b 31 01 84 00 00 00 00 00 00 00 00 00 00 00 00 00</t>
  </si>
  <si>
    <t>{"arduino_VCC":0,"arduino_Vbat":4.14,"arduino_tempCPU":-7,"compass":225,"counter":350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5e 00 00 00 00 00 00 00 00 00 00 00 00 00","raw":"f///f///AqbKf///f///AqbKAF3PS1EBXgAAAAAAAAAAAAAAAAA=","remoteID":0,"remote_Btn":0,"remote_DidHitMe":0,"remote_compass":0,"remote_distance":0,"remote_lat":-90,"remote_lng":-180,"remote_radioSSN":0,"time":"2017-12-02T15:07:53.387239289Z"</t>
  </si>
  <si>
    <t>7f ff ff 7f ff ff 02 a6 ca 7f ff ff 7f ff ff 02 a6 ca 00 5d cf 4b 51 01 5e 00 00 00 00 00 00 00 00 00 00 00 00 00</t>
  </si>
  <si>
    <t>{"arduino_VCC":1.1,"arduino_Vbat":4,"arduino_tempCPU":-9,"compass":225,"counter":24,"dataSetType":1,"device_id":"lora32u4-nummer-een","gps_alt":1,"gps_hdop":1.6,"gps_lat":52.63840333452245,"gps_lng":4.74981693922382,"gps_prev_alt":0,"gps_prev_hdop":1.1,"gps_prev_lat":52.63845697870593,"gps_prev_lng":4.749731108530227,"myBtn":0,"myID":1,"payload":"ca dd 0e 83 60 ad 00 01 10 ca dd 13 83 60 a9 00 00 0b 37 5b c8 4b 11 00 18 00 00 00 00 00 00 00 00 00 00 00 00 00","raw":"yt0Og2CtAAEQyt0Tg2CpAAALN1vISxEAGAAAAAAAAAAAAAAAAAA=","remoteID":0,"remote_Btn":0,"remote_DidHitMe":0,"remote_compass":0,"remote_distance":0,"remote_lat":-90,"remote_lng":-180,"remote_radioSSN":0,"time":"2017-12-02T15:11:02.497431691Z"</t>
  </si>
  <si>
    <t>ca dd 0e 83 60 ad 00 01 10 ca dd 13 83 60 a9 00 00 0b 37 5b c8 4b 11 00 18 00 00 00 00 00 00 00 00 00 00 00 00 00</t>
  </si>
  <si>
    <t>{"arduino_VCC":0,"arduino_Vbat":3.84,"arduino_tempCPU":-7,"compass":225,"counter":389,"dataSetType":1,"device_id":"lora32u4-nummer-drie","gps_alt":0,"gps_hdop":2.3,"gps_lat":52.63851062288944,"gps_lng":4.749795481550393,"gps_prev_alt":38,"gps_prev_hdop":1.5,"gps_prev_lat":52.63824240197195,"gps_prev_lng":4.749666735510004,"myBtn":0,"myID":3,"payload":"ca dd 18 83 60 ac 00 00 17 ca dc ff 83 60 a6 00 26 0f 00 5d c0 4b 31 01 85 00 00 00 00 00 00 00 00 00 00 00 00 00","raw":"yt0Yg2CsAAAXytz/g2CmACYPAF3ASzEBhQAAAAAAAAAAAAAAAAA=","remoteID":0,"remote_Btn":0,"remote_DidHitMe":0,"remote_compass":0,"remote_distance":0,"remote_lat":-90,"remote_lng":-180,"remote_radioSSN":0,"time":"2017-12-02T15:11:09.606628354Z"</t>
  </si>
  <si>
    <t>ca dd 18 83 60 ac 00 00 17 ca dc ff 83 60 a6 00 26 0f 00 5d c0 4b 31 01 85 00 00 00 00 00 00 00 00 00 00 00 00 00</t>
  </si>
  <si>
    <t>{"arduino_VCC":0,"arduino_Vbat":4.14,"arduino_tempCPU":-7,"compass":225,"counter":351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5f 00 00 00 00 00 00 00 00 00 00 00 00 00","raw":"f///f///AqbKf///f///AqbKAF3PS1EBXwAAAAAAAAAAAAAAAAA=","remoteID":0,"remote_Btn":0,"remote_DidHitMe":0,"remote_compass":0,"remote_distance":0,"remote_lat":-90,"remote_lng":-180,"remote_radioSSN":0,"time":"2017-12-02T15:12:01.825335336Z"</t>
  </si>
  <si>
    <t>7f ff ff 7f ff ff 02 a6 ca 7f ff ff 7f ff ff 02 a6 ca 00 5d cf 4b 51 01 5f 00 00 00 00 00 00 00 00 00 00 00 00 00</t>
  </si>
  <si>
    <t>{"arduino_VCC":0,"arduino_Vbat":4.28,"arduino_tempCPU":-6,"compass":225,"counter":7,"dataSetType":1,"device_id":"banaan1","gps_alt":0,"gps_hdop":0.9,"gps_lat":52.63848916521604,"gps_lng":4.749752566203597,"gps_prev_alt":0,"gps_prev_hdop":0.8,"gps_prev_lat":52.63840333452245,"gps_prev_lng":4.749752566203597,"myBtn":0,"myID":8,"payload":"ca dd 16 83 60 aa 00 00 09 ca dd 0e 83 60 aa 00 00 08 00 5e d6 4b 81 00 07 00 00 00 00 00 00 00 00 00 00 00 00 00","raw":"yt0Wg2CqAAAJyt0Og2CqAAAIAF7WS4EABwAAAAAAAAAAAAAAAAA=","remoteID":0,"remote_Btn":0,"remote_DidHitMe":0,"remote_compass":0,"remote_distance":0,"remote_lat":-90,"remote_lng":-180,"remote_radioSSN":0,"time":"2017-12-02T15:14:36.476154388Z"</t>
  </si>
  <si>
    <t>ca dd 16 83 60 aa 00 00 09 ca dd 0e 83 60 aa 00 00 08 00 5e d6 4b 81 00 07 00 00 00 00 00 00 00 00 00 00 00 00 00</t>
  </si>
  <si>
    <t>{"arduino_VCC":1.1,"arduino_Vbat":3.9,"arduino_tempCPU":-9,"compass":225,"counter":25,"dataSetType":1,"device_id":"lora32u4-nummer-een","gps_alt":0,"gps_hdop":1.6,"gps_lat":52.63849989405273,"gps_lng":4.749859854570616,"gps_prev_alt":1,"gps_prev_hdop":1.6,"gps_prev_lat":52.63840333452245,"gps_prev_lng":4.74981693922382,"myBtn":0,"myID":1,"payload":"ca dd 17 83 60 af 00 00 10 ca dd 0e 83 60 ad 00 01 10 37 5b c3 4b 11 00 19 00 00 00 00 00 00 00 00 00 00 00 00 00","raw":"yt0Xg2CvAAAQyt0Og2CtAAEQN1vDSxEAGQAAAAAAAAAAAAAAAAA=","remoteID":0,"remote_Btn":0,"remote_DidHitMe":0,"remote_compass":0,"remote_distance":0,"remote_lat":-90,"remote_lng":-180,"remote_radioSSN":0,"time":"2017-12-02T15:15:03.559177031Z"</t>
  </si>
  <si>
    <t>ca dd 17 83 60 af 00 00 10 ca dd 0e 83 60 ad 00 01 10 37 5b c3 4b 11 00 19 00 00 00 00 00 00 00 00 00 00 00 00 00</t>
  </si>
  <si>
    <t>{"arduino_VCC":0,"arduino_Vbat":3.84,"arduino_tempCPU":-7,"compass":225,"counter":390,"dataSetType":1,"device_id":"lora32u4-nummer-drie","gps_alt":0,"gps_hdop":2.1,"gps_lat":52.63858572474632,"gps_lng":4.749688193183431,"gps_prev_alt":0,"gps_prev_hdop":2.3,"gps_prev_lat":52.63851062288944,"gps_prev_lng":4.749795481550393,"myBtn":0,"myID":3,"payload":"ca dd 1f 83 60 a7 00 00 15 ca dd 18 83 60 ac 00 00 17 00 5d c0 4b 31 01 86 00 00 00 00 00 00 00 00 00 00 00 00 00","raw":"yt0fg2CnAAAVyt0Yg2CsAAAXAF3ASzEBhgAAAAAAAAAAAAAAAAA=","remoteID":0,"remote_Btn":0,"remote_DidHitMe":0,"remote_compass":0,"remote_distance":0,"remote_lat":-90,"remote_lng":-180,"remote_radioSSN":0,"time":"2017-12-02T15:15:10.388015143Z"</t>
  </si>
  <si>
    <t>ca dd 1f 83 60 a7 00 00 15 ca dd 18 83 60 ac 00 00 17 00 5d c0 4b 31 01 86 00 00 00 00 00 00 00 00 00 00 00 00 00</t>
  </si>
  <si>
    <t>{"arduino_VCC":0,"arduino_Vbat":4.14,"arduino_tempCPU":-7,"compass":225,"counter":352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60 00 00 00 00 00 00 00 00 00 00 00 00 00","raw":"f///f///AqbKf///f///AqbKAF3PS1EBYAAAAAAAAAAAAAAAAAA=","remoteID":0,"remote_Btn":0,"remote_DidHitMe":0,"remote_compass":0,"remote_distance":0,"remote_lat":-90,"remote_lng":-180,"remote_radioSSN":0,"time":"2017-12-02T15:16:10.275676905Z"</t>
  </si>
  <si>
    <t>7f ff ff 7f ff ff 02 a6 ca 7f ff ff 7f ff ff 02 a6 ca 00 5d cf 4b 51 01 60 00 00 00 00 00 00 00 00 00 00 00 00 00</t>
  </si>
  <si>
    <t>{"arduino_VCC":1.1,"arduino_Vbat":3.9,"arduino_tempCPU":-9,"compass":225,"counter":26,"dataSetType":1,"device_id":"lora32u4-nummer-een","gps_alt":0,"gps_hdop":1.5,"gps_lat":52.63837114801234,"gps_lng":4.749881312243986,"gps_prev_alt":0,"gps_prev_hdop":1.6,"gps_prev_lat":52.63849989405273,"gps_prev_lng":4.749859854570616,"myBtn":0,"myID":1,"payload":"ca dd 0b 83 60 b0 00 00 0f ca dd 17 83 60 af 00 00 10 37 5b c3 4b 11 00 1a 00 00 00 00 00 00 00 00 00 00 00 00 00","raw":"yt0Lg2CwAAAPyt0Xg2CvAAAQN1vDSxEAGgAAAAAAAAAAAAAAAAA=","remoteID":0,"remote_Btn":0,"remote_DidHitMe":0,"remote_compass":0,"remote_distance":0,"remote_lat":-90,"remote_lng":-180,"remote_radioSSN":0,"time":"2017-12-02T15:19:04.595539603Z"</t>
  </si>
  <si>
    <t>ca dd 0b 83 60 b0 00 00 0f ca dd 17 83 60 af 00 00 10 37 5b c3 4b 11 00 1a 00 00 00 00 00 00 00 00 00 00 00 00 00</t>
  </si>
  <si>
    <t>{"arduino_VCC":0,"arduino_Vbat":3.84,"arduino_tempCPU":-7,"compass":225,"counter":391,"dataSetType":1,"device_id":"lora32u4-nummer-drie","gps_alt":0,"gps_hdop":1.8,"gps_lat":52.63849989405273,"gps_lng":4.749731108530227,"gps_prev_alt":0,"gps_prev_hdop":2.1,"gps_prev_lat":52.63858572474632,"gps_prev_lng":4.749688193183431,"myBtn":0,"myID":3,"payload":"ca dd 17 83 60 a9 00 00 12 ca dd 1f 83 60 a7 00 00 15 00 5d c0 4b 31 01 87 00 00 00 00 00 00 00 00 00 00 00 00 00","raw":"yt0Xg2CpAAASyt0fg2CnAAAVAF3ASzEBhwAAAAAAAAAAAAAAAAA=","remoteID":0,"remote_Btn":0,"remote_DidHitMe":0,"remote_compass":0,"remote_distance":0,"remote_lat":-90,"remote_lng":-180,"remote_radioSSN":0,"time":"2017-12-02T15:19:11.44553807Z"</t>
  </si>
  <si>
    <t>ca dd 17 83 60 a9 00 00 12 ca dd 1f 83 60 a7 00 00 15 00 5d c0 4b 31 01 87 00 00 00 00 00 00 00 00 00 00 00 00 00</t>
  </si>
  <si>
    <t>{"arduino_VCC":0,"arduino_Vbat":4.12,"arduino_tempCPU":-7,"compass":225,"counter":353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ce 4b 51 01 61 00 00 00 00 00 00 00 00 00 00 00 00 00","raw":"f///f///AqbKf///f///AqbKAF3OS1EBYQAAAAAAAAAAAAAAAAA=","remoteID":0,"remote_Btn":0,"remote_DidHitMe":0,"remote_compass":0,"remote_distance":0,"remote_lat":-90,"remote_lng":-180,"remote_radioSSN":0,"time":"2017-12-02T15:20:18.961922529Z"</t>
  </si>
  <si>
    <t>7f ff ff 7f ff ff 02 a6 ca 7f ff ff 7f ff ff 02 a6 ca 00 5d ce 4b 51 01 61 00 00 00 00 00 00 00 00 00 00 00 00 00</t>
  </si>
  <si>
    <t>{"arduino_VCC":1.1,"arduino_Vbat":4.08,"arduino_tempCPU":-9,"compass":225,"counter":27,"dataSetType":1,"device_id":"lora32u4-nummer-een","gps_alt":0,"gps_hdop":1.3,"gps_lat":52.63845697870593,"gps_lng":4.749774023877023,"gps_prev_alt":0,"gps_prev_hdop":1.5,"gps_prev_lat":52.63837114801234,"gps_prev_lng":4.749881312243986,"myBtn":0,"myID":1,"payload":"ca dd 13 83 60 ab 00 00 0d ca dd 0b 83 60 b0 00 00 0f 37 5b cc 4b 11 00 1b 00 00 00 00 00 00 00 00 00 00 00 00 00","raw":"yt0Tg2CrAAANyt0Lg2CwAAAPN1vMSxEAGwAAAAAAAAAAAAAAAAA=","remoteID":0,"remote_Btn":0,"remote_DidHitMe":0,"remote_compass":0,"remote_distance":0,"remote_lat":-90,"remote_lng":-180,"remote_radioSSN":0,"time":"2017-12-02T15:23:05.383327333Z"</t>
  </si>
  <si>
    <t>ca dd 13 83 60 ab 00 00 0d ca dd 0b 83 60 b0 00 00 0f 37 5b cc 4b 11 00 1b 00 00 00 00 00 00 00 00 00 00 00 00 00</t>
  </si>
  <si>
    <t>ca dd 0b 83 60 a8 00 00 09 00 00 00 00 00 00 00 00 00 37 5b cb 4b 81 00 00 00 00 00 00 00 00 00 00 00 00 00 00 00</t>
  </si>
  <si>
    <t>{"arduino_VCC":1.1,"arduino_Vbat":4.06,"arduino_tempCPU":-9,"compass":225,"counter":0,"dataSetType":1,"device_id":"banaan1","gps_alt":0,"gps_hdop":0.9,"gps_lat":52.63837114801234,"gps_lng":4.749709650856801,"gps_prev_alt":0,"gps_prev_hdop":0,"gps_prev_lat":-90,"gps_prev_lng":-180,"myBtn":0,"myID":8,"payload":"ca dd 0b 83 60 a8 00 00 09 00 00 00 00 00 00 00 00 00 37 5b cb 4b 81 00 00 00 00 00 00 00 00 00 00 00 00 00 00 00","raw":"yt0Lg2CoAAAJAAAAAAAAAAAAN1vLS4EAAAAAAAAAAAAAAAAAAAA=","remoteID":0,"remote_Btn":0,"remote_DidHitMe":0,"remote_compass":0,"remote_distance":0,"remote_lat":-90,"remote_lng":-180,"remote_radioSSN":0,"time":"2017-12-02T15:23:54.628150213Z"</t>
  </si>
  <si>
    <t>{"arduino_VCC":0,"arduino_Vbat":4.14,"arduino_tempCPU":-7,"compass":225,"counter":354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cf 4b 51 01 62 00 00 00 00 00 00 00 00 00 00 00 00 00","raw":"f///f///AqbKf///f///AqbKAF3PS1EBYgAAAAAAAAAAAAAAAAA=","remoteID":0,"remote_Btn":0,"remote_DidHitMe":0,"remote_compass":0,"remote_distance":0,"remote_lat":-90,"remote_lng":-180,"remote_radioSSN":0,"time":"2017-12-02T15:24:27.406912144Z"</t>
  </si>
  <si>
    <t>7f ff ff 7f ff ff 02 a6 ca 7f ff ff 7f ff ff 02 a6 ca 00 5d cf 4b 51 01 62 00 00 00 00 00 00 00 00 00 00 00 00 00</t>
  </si>
  <si>
    <t>{"arduino_VCC":0,"arduino_Vbat":4.06,"arduino_tempCPU":-9,"compass":225,"counter":0,"dataSetType":1,"device_id":"banaan1","gps_alt":0,"gps_hdop":0.9,"gps_lat":52.63839260568574,"gps_lng":4.749709650856801,"gps_prev_alt":0,"gps_prev_hdop":0,"gps_prev_lat":-90,"gps_prev_lng":-180,"myBtn":0,"myID":8,"payload":"ca dd 0d 83 60 a8 00 00 09 00 00 00 00 00 00 00 00 00 00 5b cb 4b 81 00 00 00 00 00 00 00 00 00 00 00 00 00 00 00","raw":"yt0Ng2CoAAAJAAAAAAAAAAAAAFvLS4EAAAAAAAAAAAAAAAAAAAA=","remoteID":0,"remote_Btn":0,"remote_DidHitMe":0,"remote_compass":0,"remote_distance":0,"remote_lat":-90,"remote_lng":-180,"remote_radioSSN":0,"time":"2017-12-02T15:24:30.402837274Z"</t>
  </si>
  <si>
    <t>ca dd 0d 83 60 a8 00 00 09 00 00 00 00 00 00 00 00 00 00 5b cb 4b 81 00 00 00 00 00 00 00 00 00 00 00 00 00 00 00</t>
  </si>
  <si>
    <t>{"arduino_VCC":0,"arduino_Vbat":4.12,"arduino_tempCPU":-8,"compass":225,"counter":28,"dataSetType":1,"device_id":"lora32u4-nummer-een","gps_alt":0,"gps_hdop":1.4,"gps_lat":52.63849989405273,"gps_lng":4.749709650856801,"gps_prev_alt":0,"gps_prev_hdop":1.3,"gps_prev_lat":52.63845697870593,"gps_prev_lng":4.749774023877023,"myBtn":0,"myID":1,"payload":"ca dd 17 83 60 a8 00 00 0e ca dd 13 83 60 ab 00 00 0d 00 5c ce 4b 11 00 1c 00 00 00 00 00 00 00 00 00 00 00 00 00","raw":"yt0Xg2CoAAAOyt0Tg2CrAAANAFzOSxEAHAAAAAAAAAAAAAAAAAA=","remoteID":0,"remote_Btn":0,"remote_DidHitMe":0,"remote_compass":0,"remote_distance":0,"remote_lat":-90,"remote_lng":-180,"remote_radioSSN":0,"time":"2017-12-02T15:27:06.435464638Z"</t>
  </si>
  <si>
    <t>ca dd 17 83 60 a8 00 00 0e ca dd 13 83 60 ab 00 00 0d 00 5c ce 4b 11 00 1c 00 00 00 00 00 00 00 00 00 00 00 00 00</t>
  </si>
  <si>
    <t>ca dd 12 83 60 a7 00 03 12 ca dd 26 83 60 a1 00 00 13 00 5c bd 4b 31 01 89 00 00 00 00 00 00 00 00 00 00 00 00 00</t>
  </si>
  <si>
    <t>{"arduino_VCC":0,"arduino_Vbat":3.78,"arduino_tempCPU":-8,"compass":225,"counter":393,"dataSetType":1,"device_id":"lora32u4-nummer-drie","gps_alt":3,"gps_hdop":1.8,"gps_lat":52.63844624986925,"gps_lng":4.749688193183431,"gps_prev_alt":0,"gps_prev_hdop":1.9,"gps_prev_lat":52.63866082660323,"gps_prev_lng":4.749559447143042,"myBtn":0,"myID":3,"payload":"ca dd 12 83 60 a7 00 03 12 ca dd 26 83 60 a1 00 00 13 00 5c bd 4b 31 01 89 00 00 00 00 00 00 00 00 00 00 00 00 00","raw":"yt0Sg2CnAAMSyt0mg2ChAAATAFy9SzEBiQAAAAAAAAAAAAAAAAA=","remoteID":0,"remote_Btn":0,"remote_DidHitMe":0,"remote_compass":0,"remote_distance":0,"remote_lat":-90,"remote_lng":-180,"remote_radioSSN":0,"time":"2017-12-02T15:27:13.532060062Z"</t>
  </si>
  <si>
    <t>{"arduino_VCC":0,"arduino_Vbat":4.18,"arduino_tempCPU":-8,"compass":225,"counter":1,"dataSetType":1,"device_id":"banaan1","gps_alt":0,"gps_hdop":0.8,"gps_lat":52.63842479219585,"gps_lng":4.749709650856801,"gps_prev_alt":0,"gps_prev_hdop":0.9,"gps_prev_lat":52.63839260568574,"gps_prev_lng":4.749709650856801,"myBtn":0,"myID":8,"payload":"ca dd 10 83 60 a8 00 00 08 ca dd 0d 83 60 a8 00 00 09 00 5c d1 4b 81 00 01 00 00 00 00 00 00 00 00 00 00 00 00 00","raw":"yt0Qg2CoAAAIyt0Ng2CoAAAJAFzRS4EAAQAAAAAAAAAAAAAAAAA=","remoteID":0,"remote_Btn":0,"remote_DidHitMe":0,"remote_compass":0,"remote_distance":0,"remote_lat":-90,"remote_lng":-180,"remote_radioSSN":0,"time":"2017-12-02T15:28:31.458874066Z"</t>
  </si>
  <si>
    <t>ca dd 10 83 60 a8 00 00 08 ca dd 0d 83 60 a8 00 00 09 00 5c d1 4b 81 00 01 00 00 00 00 00 00 00 00 00 00 00 00 00</t>
  </si>
  <si>
    <t>{"arduino_VCC":1.1,"arduino_Vbat":4.06,"arduino_tempCPU":-9,"compass":225,"counter":29,"dataSetType":1,"device_id":"lora32u4-nummer-een","gps_alt":0,"gps_hdop":1.3,"gps_lat":52.63839260568574,"gps_lng":4.749752566203597,"gps_prev_alt":0,"gps_prev_hdop":1.4,"gps_prev_lat":52.63849989405273,"gps_prev_lng":4.749709650856801,"myBtn":0,"myID":1,"payload":"ca dd 0d 83 60 aa 00 00 0d ca dd 17 83 60 a8 00 00 0e 37 5b cb 4b 11 00 1d 00 00 00 00 00 00 00 00 00 00 00 00 00","raw":"yt0Ng2CqAAANyt0Xg2CoAAAON1vLSxEAHQAAAAAAAAAAAAAAAAA=","remoteID":0,"remote_Btn":0,"remote_DidHitMe":0,"remote_compass":0,"remote_distance":0,"remote_lat":-90,"remote_lng":-180,"remote_radioSSN":0,"time":"2017-12-02T15:31:07.486475794Z"</t>
  </si>
  <si>
    <t>ca dd 0d 83 60 aa 00 00 0d ca dd 17 83 60 a8 00 00 0e 37 5b cb 4b 11 00 1d 00 00 00 00 00 00 00 00 00 00 00 00 00</t>
  </si>
  <si>
    <t>{"arduino_VCC":0,"arduino_Vbat":3.76,"arduino_tempCPU":-8,"compass":225,"counter":394,"dataSetType":1,"device_id":"lora32u4-nummer-drie","gps_alt":41,"gps_hdop":2.1,"gps_lat":52.638070740584766,"gps_lng":4.750010058284374,"gps_prev_alt":3,"gps_prev_hdop":1.8,"gps_prev_lat":52.63844624986925,"gps_prev_lng":4.749688193183431,"myBtn":0,"myID":3,"payload":"ca dc ef 83 60 b6 00 29 15 ca dd 12 83 60 a7 00 03 12 00 5c bc 4b 31 01 8a 00 00 00 00 00 00 00 00 00 00 00 00 00","raw":"ytzvg2C2ACkVyt0Sg2CnAAMSAFy8SzEBigAAAAAAAAAAAAAAAAA=","remoteID":0,"remote_Btn":0,"remote_DidHitMe":0,"remote_compass":0,"remote_distance":0,"remote_lat":-90,"remote_lng":-180,"remote_radioSSN":0,"time":"2017-12-02T15:31:14.593767249Z"</t>
  </si>
  <si>
    <t>ca dc ef 83 60 b6 00 29 15 ca dd 12 83 60 a7 00 03 12 00 5c bc 4b 31 01 8a 00 00 00 00 00 00 00 00 00 00 00 00 00</t>
  </si>
  <si>
    <t>{"arduino_VCC":0,"arduino_Vbat":4.18,"arduino_tempCPU":-7,"compass":225,"counter":2,"dataSetType":1,"device_id":"banaan1","gps_alt":4,"gps_hdop":0.9,"gps_lat":52.63840333452245,"gps_lng":4.749709650856801,"gps_prev_alt":0,"gps_prev_hdop":0.8,"gps_prev_lat":52.63842479219585,"gps_prev_lng":4.749709650856801,"myBtn":0,"myID":8,"payload":"ca dd 0e 83 60 a8 00 04 09 ca dd 10 83 60 a8 00 00 08 00 5d d1 4b 81 00 02 00 00 00 00 00 00 00 00 00 00 00 00 00","raw":"yt0Og2CoAAQJyt0Qg2CoAAAIAF3RS4EAAgAAAAAAAAAAAAAAAAA=","remoteID":0,"remote_Btn":0,"remote_DidHitMe":0,"remote_compass":0,"remote_distance":0,"remote_lat":-90,"remote_lng":-180,"remote_radioSSN":0,"time":"2017-12-02T15:32:32.498803749Z"</t>
  </si>
  <si>
    <t>ca dd 0e 83 60 a8 00 04 09 ca dd 10 83 60 a8 00 00 08 00 5d d1 4b 81 00 02 00 00 00 00 00 00 00 00 00 00 00 00 00</t>
  </si>
  <si>
    <t>{"arduino_VCC":0,"arduino_Vbat":4.12,"arduino_tempCPU":-7,"compass":225,"counter":356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ce 4b 51 01 64 00 00 00 00 00 00 00 00 00 00 00 00 00","raw":"f///f///AqbKf///f///AqbKAF3OS1EBZAAAAAAAAAAAAAAAAAA=","remoteID":0,"remote_Btn":0,"remote_DidHitMe":0,"remote_compass":0,"remote_distance":0,"remote_lat":-90,"remote_lng":-180,"remote_radioSSN":0,"time":"2017-12-02T15:32:44.532480688Z"</t>
  </si>
  <si>
    <t>7f ff ff 7f ff ff 02 a6 ca 7f ff ff 7f ff ff 02 a6 ca 00 5d ce 4b 51 01 64 00 00 00 00 00 00 00 00 00 00 00 00 00</t>
  </si>
  <si>
    <t>{"arduino_VCC":0,"arduino_Vbat":4.14,"arduino_tempCPU":-9,"compass":225,"counter":30,"dataSetType":1,"device_id":"lora32u4-nummer-een","gps_alt":0,"gps_hdop":1.2,"gps_lat":52.63845697870593,"gps_lng":4.749666735510004,"gps_prev_alt":0,"gps_prev_hdop":1.3,"gps_prev_lat":52.63839260568574,"gps_prev_lng":4.749752566203597,"myBtn":0,"myID":1,"payload":"ca dd 13 83 60 a6 00 00 0c ca dd 0d 83 60 aa 00 00 0d 00 5b cf 4b 11 00 1e 00 00 00 00 00 00 00 00 00 00 00 00 00","raw":"yt0Tg2CmAAAMyt0Ng2CqAAANAFvPSxEAHgAAAAAAAAAAAAAAAAA=","remoteID":0,"remote_Btn":0,"remote_DidHitMe":0,"remote_compass":0,"remote_distance":0,"remote_lat":-90,"remote_lng":-180,"remote_radioSSN":0,"time":"2017-12-02T15:35:08.538347489Z"</t>
  </si>
  <si>
    <t>ca dd 13 83 60 a6 00 00 0c ca dd 0d 83 60 aa 00 00 0d 00 5b cf 4b 11 00 1e 00 00 00 00 00 00 00 00 00 00 00 00 00</t>
  </si>
  <si>
    <t>{"arduino_VCC":0,"arduino_Vbat":3.72,"arduino_tempCPU":-8,"compass":225,"counter":395,"dataSetType":1,"device_id":"lora32u4-nummer-drie","gps_alt":0,"gps_hdop":1.7,"gps_lat":52.638435521032534,"gps_lng":4.749731108530227,"gps_prev_alt":41,"gps_prev_hdop":2.1,"gps_prev_lat":52.638070740584766,"gps_prev_lng":4.750010058284374,"myBtn":0,"myID":3,"payload":"ca dd 11 83 60 a9 00 00 11 ca dc ef 83 60 b6 00 29 15 00 5c ba 4b 31 01 8b 00 00 00 00 00 00 00 00 00 00 00 00 00","raw":"yt0Rg2CpAAARytzvg2C2ACkVAFy6SzEBiwAAAAAAAAAAAAAAAAA=","remoteID":0,"remote_Btn":0,"remote_DidHitMe":0,"remote_compass":0,"remote_distance":0,"remote_lat":-90,"remote_lng":-180,"remote_radioSSN":0,"time":"2017-12-02T15:35:15.377111147Z"</t>
  </si>
  <si>
    <t>ca dd 11 83 60 a9 00 00 11 ca dc ef 83 60 b6 00 29 15 00 5c ba 4b 31 01 8b 00 00 00 00 00 00 00 00 00 00 00 00 00</t>
  </si>
  <si>
    <t>{"arduino_VCC":0,"arduino_Vbat":4.24,"arduino_tempCPU":-8,"compass":225,"counter":3,"dataSetType":1,"device_id":"banaan1","gps_alt":0,"gps_hdop":1.1,"gps_lat":52.63838187684905,"gps_lng":4.749752566203597,"gps_prev_alt":4,"gps_prev_hdop":0.9,"gps_prev_lat":52.63840333452245,"gps_prev_lng":4.749709650856801,"myBtn":0,"myID":8,"payload":"ca dd 0c 83 60 aa 00 00 0b ca dd 0e 83 60 a8 00 04 09 00 5c d4 4b 81 00 03 00 00 00 00 00 00 00 00 00 00 00 00 00","raw":"yt0Mg2CqAAALyt0Og2CoAAQJAFzUS4EAAwAAAAAAAAAAAAAAAAA=","remoteID":0,"remote_Btn":0,"remote_DidHitMe":0,"remote_compass":0,"remote_distance":0,"remote_lat":-90,"remote_lng":-180,"remote_radioSSN":0,"time":"2017-12-02T15:36:33.559269389Z"</t>
  </si>
  <si>
    <t>ca dd 0c 83 60 aa 00 00 0b ca dd 0e 83 60 a8 00 04 09 00 5c d4 4b 81 00 03 00 00 00 00 00 00 00 00 00 00 00 00 00</t>
  </si>
  <si>
    <t>{"arduino_VCC":0,"arduino_Vbat":4.12,"arduino_tempCPU":-7,"compass":225,"counter":357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ce 4b 51 01 65 00 00 00 00 00 00 00 00 00 00 00 00 00","raw":"f///f///AqbKf///f///AqbKAF3OS1EBZQAAAAAAAAAAAAAAAAA=","remoteID":0,"remote_Btn":0,"remote_DidHitMe":0,"remote_compass":0,"remote_distance":0,"remote_lat":-90,"remote_lng":-180,"remote_radioSSN":0,"time":"2017-12-02T15:36:52.978902442Z"</t>
  </si>
  <si>
    <t>7f ff ff 7f ff ff 02 a6 ca 7f ff ff 7f ff ff 02 a6 ca 00 5d ce 4b 51 01 65 00 00 00 00 00 00 00 00 00 00 00 00 00</t>
  </si>
  <si>
    <t>{"arduino_VCC":1.1,"arduino_Vbat":4.06,"arduino_tempCPU":59,"compass":225,"counter":31,"dataSetType":1,"device_id":"lora32u4-nummer-een","gps_alt":7,"gps_hdop":1.3,"gps_lat":52.63845697870593,"gps_lng":4.749623820163208,"gps_prev_alt":0,"gps_prev_hdop":1.2,"gps_prev_lat":52.63845697870593,"gps_prev_lng":4.749666735510004,"myBtn":0,"myID":1,"payload":"ca dd 13 83 60 a4 00 07 0d ca dd 13 83 60 a6 00 00 0c 37 9f cb 4b 11 00 1f 00 00 00 00 00 00 00 00 00 00 00 00 00","raw":"yt0Tg2CkAAcNyt0Tg2CmAAAMN5/LSxEAHwAAAAAAAAAAAAAAAAA=","remoteID":0,"remote_Btn":0,"remote_DidHitMe":0,"remote_compass":0,"remote_distance":0,"remote_lat":-90,"remote_lng":-180,"remote_radioSSN":0,"time":"2017-12-02T15:39:09.587985498Z"</t>
  </si>
  <si>
    <t>ca dd 13 83 60 a4 00 07 0d ca dd 13 83 60 a6 00 00 0c 37 9f cb 4b 11 00 1f 00 00 00 00 00 00 00 00 00 00 00 00 00</t>
  </si>
  <si>
    <t>{"arduino_VCC":0,"arduino_Vbat":3.78,"arduino_tempCPU":-7,"compass":225,"counter":396,"dataSetType":1,"device_id":"lora32u4-nummer-drie","gps_alt":0,"gps_hdop":1.7,"gps_lat":52.638467707542645,"gps_lng":4.749688193183431,"gps_prev_alt":0,"gps_prev_hdop":1.7,"gps_prev_lat":52.638435521032534,"gps_prev_lng":4.749731108530227,"myBtn":0,"myID":3,"payload":"ca dd 14 83 60 a7 00 00 11 ca dd 11 83 60 a9 00 00 11 00 5d bd 4b 31 01 8c 00 00 00 00 00 00 00 00 00 00 00 00 00","raw":"yt0Ug2CnAAARyt0Rg2CpAAARAF29SzEBjAAAAAAAAAAAAAAAAAA=","remoteID":0,"remote_Btn":0,"remote_DidHitMe":0,"remote_compass":0,"remote_distance":0,"remote_lat":-90,"remote_lng":-180,"remote_radioSSN":0,"time":"2017-12-02T15:39:16.432554855Z"</t>
  </si>
  <si>
    <t>ca dd 14 83 60 a7 00 00 11 ca dd 11 83 60 a9 00 00 11 00 5d bd 4b 31 01 8c 00 00 00 00 00 00 00 00 00 00 00 00 00</t>
  </si>
  <si>
    <t>{"arduino_VCC":0,"arduino_Vbat":4.12,"arduino_tempCPU":-7,"compass":225,"counter":358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ce 4b 51 01 66 00 00 00 00 00 00 00 00 00 00 00 00 00","raw":"f///f///AqbKf///f///AqbKAF3OS1EBZgAAAAAAAAAAAAAAAAA=","remoteID":0,"remote_Btn":0,"remote_DidHitMe":0,"remote_compass":0,"remote_distance":0,"remote_lat":-90,"remote_lng":-180,"remote_radioSSN":0,"time":"2017-12-02T15:41:01.417211492Z"</t>
  </si>
  <si>
    <t>7f ff ff 7f ff ff 02 a6 ca 7f ff ff 7f ff ff 02 a6 ca 00 5d ce 4b 51 01 66 00 00 00 00 00 00 00 00 00 00 00 00 00</t>
  </si>
  <si>
    <t>{"arduino_VCC":1.1,"arduino_Vbat":4.06,"arduino_tempCPU":-9,"compass":225,"counter":32,"dataSetType":1,"device_id":"lora32u4-nummer-een","gps_alt":4,"gps_hdop":1.2,"gps_lat":52.63834969033894,"gps_lng":4.749752566203597,"gps_prev_alt":7,"gps_prev_hdop":1.3,"gps_prev_lat":52.63845697870593,"gps_prev_lng":4.749623820163208,"myBtn":0,"myID":1,"payload":"ca dd 09 83 60 aa 00 04 0c ca dd 13 83 60 a4 00 07 0d 37 5b cb 4b 11 00 20 00 00 00 00 00 00 00 00 00 00 00 00 00","raw":"yt0Jg2CqAAQMyt0Tg2CkAAcNN1vLSxEAIAAAAAAAAAAAAAAAAAA=","remoteID":0,"remote_Btn":0,"remote_DidHitMe":0,"remote_compass":0,"remote_distance":0,"remote_lat":-90,"remote_lng":-180,"remote_radioSSN":0,"time":"2017-12-02T15:43:10.370154013Z"</t>
  </si>
  <si>
    <t>ca dd 09 83 60 aa 00 04 0c ca dd 13 83 60 a4 00 07 0d 37 5b cb 4b 11 00 20 00 00 00 00 00 00 00 00 00 00 00 00 00</t>
  </si>
  <si>
    <t>ca dd 0e 83 60 a8 00 00 11 ca dd 14 83 60 a7 00 00 11 00 5c bc 4b 31 01 8d 00 00 00 00 00 00 00 00 00 00 00 00 00</t>
  </si>
  <si>
    <t>{"arduino_VCC":0,"arduino_Vbat":3.76,"arduino_tempCPU":-8,"compass":225,"counter":397,"dataSetType":1,"device_id":"lora32u4-nummer-drie","gps_alt":0,"gps_hdop":1.7,"gps_lat":52.63840333452245,"gps_lng":4.749709650856801,"gps_prev_alt":0,"gps_prev_hdop":1.7,"gps_prev_lat":52.638467707542645,"gps_prev_lng":4.749688193183431,"myBtn":0,"myID":3,"payload":"ca dd 0e 83 60 a8 00 00 11 ca dd 14 83 60 a7 00 00 11 00 5c bc 4b 31 01 8d 00 00 00 00 00 00 00 00 00 00 00 00 00","raw":"yt0Og2CoAAARyt0Ug2CnAAARAFy8SzEBjQAAAAAAAAAAAAAAAAA=","remoteID":0,"remote_Btn":0,"remote_DidHitMe":0,"remote_compass":0,"remote_distance":0,"remote_lat":-90,"remote_lng":-180,"remote_radioSSN":0,"time":"2017-12-02T15:43:17.476890761Z"</t>
  </si>
  <si>
    <t>{"arduino_VCC":0,"arduino_Vbat":4.26,"arduino_tempCPU":-7,"compass":225,"counter":5,"dataSetType":1,"device_id":"banaan1","gps_alt":0,"gps_hdop":0.8,"gps_lat":52.63840333452245,"gps_lng":4.749688193183431,"gps_prev_alt":5,"gps_prev_hdop":1.4,"gps_prev_lat":52.63832823266554,"gps_prev_lng":4.749774023877023,"myBtn":0,"myID":8,"payload":"ca dd 0e 83 60 a7 00 00 08 ca dd 07 83 60 ab 00 05 0e 00 5d d5 4b 81 00 05 00 00 00 00 00 00 00 00 00 00 00 00 00","raw":"yt0Og2CnAAAIyt0Hg2CrAAUOAF3VS4EABQAAAAAAAAAAAAAAAAA=","remoteID":0,"remote_Btn":0,"remote_DidHitMe":0,"remote_compass":0,"remote_distance":0,"remote_lat":-90,"remote_lng":-180,"remote_radioSSN":0,"time":"2017-12-02T15:44:35.395458135Z"</t>
  </si>
  <si>
    <t>ca dd 0e 83 60 a7 00 00 08 ca dd 07 83 60 ab 00 05 0e 00 5d d5 4b 81 00 05 00 00 00 00 00 00 00 00 00 00 00 00 00</t>
  </si>
  <si>
    <t>{"arduino_VCC":0,"arduino_Vbat":4.12,"arduino_tempCPU":-7,"compass":225,"counter":359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ce 4b 51 01 67 00 00 00 00 00 00 00 00 00 00 00 00 00","raw":"f///f///AqbKf///f///AqbKAF3OS1EBZwAAAAAAAAAAAAAAAAA=","remoteID":0,"remote_Btn":0,"remote_DidHitMe":0,"remote_compass":0,"remote_distance":0,"remote_lat":-90,"remote_lng":-180,"remote_radioSSN":0,"time":"2017-12-02T15:45:10.117643344Z"</t>
  </si>
  <si>
    <t>7f ff ff 7f ff ff 02 a6 ca 7f ff ff 7f ff ff 02 a6 ca 00 5d ce 4b 51 01 67 00 00 00 00 00 00 00 00 00 00 00 00 00</t>
  </si>
  <si>
    <t>ca dd 1a 83 60 9b 00 11 0d ca dd 09 83 60 aa 00 04 0c 37 5b cb 4b 11 00 21 00 00 00 00 00 00 00 00 00 00 00 00 00</t>
  </si>
  <si>
    <t>[{"arduino_VCC":0,"arduino_Vbat":4.26,"arduino_tempCPU":-7,"compass":225,"counter":2,"dataSetType":1,"device_id":"banaan1","gps_alt":7,"gps_hdop":2.5,"gps_lat":52.63838187684905,"gps_lng":4.749731108530227,"gps_prev_alt":3,"gps_prev_hdop":1.9,"gps_prev_lat":52.638435521032534,"gps_prev_lng":4.749752566203597,"myBtn":0,"myID":8,"payload":"ca dd 0c 83 60 a9 00 07 19 ca dd 11 83 60 aa 00 03 13 00 5d d5 4b 81 00 02 00 00 00 00 00 00 00 00 00 00 00 00 00","raw":"yt0Mg2CpAAcZyt0Rg2CqAAMTAF3VS4EAAgAAAAAAAAAAAAAAAAA=","remoteID":0,"remote_Btn":0,"remote_DidHitMe":0,"remote_compass":0,"remote_distance":0,"remote_lat":-90,"remote_lng":-180,"remote_radioSSN":0,"time":"2017-12-02T13:52:36.497233306Z"},{"arduino_VCC":0,"arduino_Vbat":4.18,"arduino_tempCPU":-7,"compass":225,"counter":332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4c 00 00 00 00 00 00 00 00 00 00 00 00 00","raw":"f///f///AqbKf///f///AqbKAF3RS1EBTAAAAAAAAAAAAAAAAAA=","remoteID":0,"remote_Btn":0,"remote_DidHitMe":0,"remote_compass":0,"remote_distance":0,"remote_lat":-90,"remote_lng":-180,"remote_radioSSN":0,"time":"2017-12-02T13:53:19.949487188Z"},{"arduino_VCC":1.1,"arduino_Vbat":4.02,"arduino_tempCPU":-9,"compass":225,"counter":5,"dataSetType":1,"device_id":"lora32u4-nummer-een","gps_alt":1,"gps_hdop":1,"gps_lat":52.63845697870593,"gps_lng":4.749623820163208,"gps_prev_alt":0,"gps_prev_hdop":1.1,"gps_prev_lat":52.63839260568574,"gps_prev_lng":4.749752566203597,"myBtn":0,"myID":1,"payload":"ca dd 13 83 60 a4 00 01 0a ca dd 0d 83 60 aa 00 00 0b 37 5b c9 4b 11 00 05 00 00 00 00 00 00 00 00 00 00 00 00 00","raw":"yt0Tg2CkAAEKyt0Ng2CqAAALN1vJSxEABQAAAAAAAAAAAAAAAAA=","remoteID":0,"remote_Btn":0,"remote_DidHitMe":0,"remote_compass":0,"remote_distance":0,"remote_lat":-90,"remote_lng":-180,"remote_radioSSN":0,"time":"2017-12-02T13:54:43.588974873Z"},{"arduino_VCC":0,"arduino_Vbat":3.78,"arduino_tempCPU":-8,"compass":225,"counter":370,"dataSetType":1,"device_id":"lora32u4-nummer-drie","gps_alt":3,"gps_hdop":1.1,"gps_lat":52.63840333452245,"gps_lng":4.749752566203597,"gps_prev_alt":6,"gps_prev_hdop":1.2,"gps_prev_lat":52.63856426707292,"gps_prev_lng":4.749537989469616,"myBtn":0,"myID":3,"payload":"ca dd 0e 83 60 aa 00 03 0b ca dd 1d 83 60 a0 00 06 0c 00 5c bd 4b 31 01 72 00 00 00 00 00 00 00 00 00 00 00 00 00","raw":"yt0Og2CqAAMLyt0dg2CgAAYMAFy9SzEBcgAAAAAAAAAAAAAAAAA=","remoteID":0,"remote_Btn":0,"remote_DidHitMe":0,"remote_compass":0,"remote_distance":0,"remote_lat":-90,"remote_lng":-180,"remote_radioSSN":0,"time":"2017-12-02T13:54:50.442096759Z"},{"arduino_VCC":0,"arduino_Vbat":4.18,"arduino_tempCPU":-7,"compass":225,"counter":333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4d 00 00 00 00 00 00 00 00 00 00 00 00 00","raw":"f///f///AqbKf///f///AqbKAF3RS1EBTQAAAAAAAAAAAAAAAAA=","remoteID":0,"remote_Btn":0,"remote_DidHitMe":0,"remote_compass":0,"remote_distance":0,"remote_lat":-90,"remote_lng":-180,"remote_radioSSN":0,"time":"2017-12-02T13:57:28.640431706Z"},{"arduino_VCC":0,"arduino_Vbat":4.12,"arduino_tempCPU":-9,"compass":225,"counter":0,"dataSetType":1,"device_id":"banaan1","gps_alt":10,"gps_hdop":2.1,"gps_lat":52.63837114801234,"gps_lng":4.74981693922382,"gps_prev_alt":0,"gps_prev_hdop":0,"gps_prev_lat":-90,"gps_prev_lng":-180,"myBtn":0,"myID":8,"payload":"ca dd 0b 83 60 ad 00 0a 15 00 00 00 00 00 00 00 00 00 00 5b ce 4b 81 00 00 00 00 00 00 00 00 00 00 00 00 00 00 00","raw":"yt0Lg2CtAAoVAAAAAAAAAAAAAFvOS4EAAAAAAAAAAAAAAAAAAAA=","remoteID":0,"remote_Btn":0,"remote_DidHitMe":0,"remote_compass":0,"remote_distance":0,"remote_lat":-90,"remote_lng":-180,"remote_radioSSN":0,"time":"2017-12-02T13:57:47.566638285Z"},{"arduino_VCC":1.1,"arduino_Vbat":3.98,"arduino_tempCPU":-9,"compass":225,"counter":6,"dataSetType":1,"device_id":"lora32u4-nummer-een","gps_alt":0,"gps_hdop":1,"gps_lat":52.63840333452245,"gps_lng":4.749774023877023,"gps_prev_alt":1,"gps_prev_hdop":1,"gps_prev_lat":52.63845697870593,"gps_prev_lng":4.749623820163208,"myBtn":0,"myID":1,"payload":"ca dd 0e 83 60 ab 00 00 0a ca dd 13 83 60 a4 00 01 0a 37 5b c7 4b 11 00 06 00 00 00 00 00 00 00 00 00 00 00 00 00","raw":"yt0Og2CrAAAKyt0Tg2CkAAEKN1vHSxEABgAAAAAAAAAAAAAAAAA=","remoteID":0,"remote_Btn":0,"remote_DidHitMe":0,"remote_compass":0,"remote_distance":0,"remote_lat":-90,"remote_lng":-180,"remote_radioSSN":0,"time":"2017-12-02T13:58:44.376856736Z"},{"arduino_VCC":0,"arduino_Vbat":3.72,"arduino_tempCPU":-8,"compass":225,"counter":371,"dataSetType":1,"device_id":"lora32u4-nummer-drie","gps_alt":0,"gps_hdop":1,"gps_lat":52.63844624986925,"gps_lng":4.749752566203597,"gps_prev_alt":3,"gps_prev_hdop":1.1,"gps_prev_lat":52.63840333452245,"gps_prev_lng":4.749752566203597,"myBtn":0,"myID":3,"payload":"ca dd 12 83 60 aa 00 00 0a ca dd 0e 83 60 aa 00 03 0b 00 5c ba 4b 31 01 73 00 00 00 00 00 00 00 00 00 00 00 00 00","raw":"yt0Sg2CqAAAKyt0Og2CqAAMLAFy6SzEBcwAAAAAAAAAAAAAAAAA=","remoteID":0,"remote_Btn":0,"remote_DidHitMe":0,"remote_compass":0,"remote_distance":0,"remote_lat":-90,"remote_lng":-180,"remote_radioSSN":0,"time":"2017-12-02T13:58:51.480475232Z"},{"arduino_VCC":0,"arduino_Vbat":4.3,"arduino_tempCPU":-8,"compass":225,"counter":1,"dataSetType":1,"device_id":"banaan1","gps_alt":11,"gps_hdop":2.2,"gps_lat":52.63838187684905,"gps_lng":4.749859854570616,"gps_prev_alt":10,"gps_prev_hdop":2.1,"gps_prev_lat":52.63837114801234,"gps_prev_lng":4.74981693922382,"myBtn":0,"myID":8,"payload":"ca dd 0c 83 60 af 00 0b 16 ca dd 0b 83 60 ad 00 0a 15 00 5c d7 4b 81 00 01 00 00 00 00 00 00 00 00 00 00 00 00 00","raw":"yt0Mg2CvAAsWyt0Lg2CtAAoVAFzXS4EAAQAAAAAAAAAAAAAAAAA=","remoteID":0,"remote_Btn":0,"remote_DidHitMe":0,"remote_compass":0,"remote_distance":0,"remote_lat":-90,"remote_lng":-180,"remote_radioSSN":0,"time":"2017-12-02T13:59:36.211293793Z"},{"arduino_VCC":0,"arduino_Vbat":4.18,"arduino_tempCPU":-7,"compass":225,"counter":334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4e 00 00 00 00 00 00 00 00 00 00 00 00 00","raw":"f///f///AqbKf///f///AqbKAF3RS1EBTgAAAAAAAAAAAAAAAAA=","remoteID":0,"remote_Btn":0,"remote_DidHitMe":0,"remote_compass":0,"remote_distance":0,"remote_lat":-90,"remote_lng":-180,"remote_radioSSN":0,"time":"2017-12-02T14:01:37.075607567Z"},{"arduino_VCC":0,"arduino_Vbat":4.28,"arduino_tempCPU":-7,"compass":225,"counter":3,"dataSetType":1,"device_id":"banaan1","gps_alt":0,"gps_hdop":2.5,"gps_lat":52.638435521032534,"gps_lng":4.749967142937578,"gps_prev_alt":8,"gps_prev_hdop":2.2,"gps_prev_lat":52.63838187684905,"gps_prev_lng":4.749838396897189,"myBtn":0,"myID":8,"payload":"ca dd 11 83 60 b4 00 00 19 ca dd 0c 83 60 ae 00 08 16 00 5d d6 4b 81 00 03 00 00 00 00 00 00 00 00 00 00 00 00 00","raw":"yt0Rg2C0AAAZyt0Mg2CuAAgWAF3WS4EAAwAAAAAAAAAAAAAAAAA=","remoteID":0,"remote_Btn":0,"remote_DidHitMe":0,"remote_compass":0,"remote_distance":0,"remote_lat":-90,"remote_lng":-180,"remote_radioSSN":0,"time":"2017-12-02T14:02:31.998050848Z"},{"arduino_VCC":1.1,"arduino_Vbat":3.94,"arduino_tempCPU":-9,"compass":225,"counter":7,"dataSetType":1,"device_id":"lora32u4-nummer-een","gps_alt":1,"gps_hdop":1.5,"gps_lat":52.638231673135266,"gps_lng":4.750010058284374,"gps_prev_alt":0,"gps_prev_hdop":1,"gps_prev_lat":52.63840333452245,"gps_prev_lng":4.749774023877023,"myBtn":0,"myID":1,"payload":"ca dc fe 83 60 b6 00 01 0f ca dd 0e 83 60 ab 00 00 0a 37 5b c5 4b 11 00 07 00 00 00 00 00 00 00 00 00 00 00 00 00","raw":"ytz+g2C2AAEPyt0Og2CrAAAKN1vFSxEABwAAAAAAAAAAAAAAAAA=","remoteID":0,"remote_Btn":0,"remote_DidHitMe":0,"remote_compass":0,"remote_distance":0,"remote_lat":-90,"remote_lng":-180,"remote_radioSSN":0,"time":"2017-12-02T14:02:45.425575122Z"},{"arduino_VCC":0,"arduino_Vbat":3.78,"arduino_tempCPU":-7,"compass":225,"counter":372,"dataSetType":1,"device_id":"lora32u4-nummer-drie","gps_alt":0,"gps_hdop":1.4,"gps_lat":52.63848916521604,"gps_lng":4.749881312243986,"gps_prev_alt":0,"gps_prev_hdop":1,"gps_prev_lat":52.63844624986925,"gps_prev_lng":4.749752566203597,"myBtn":0,"myID":3,"payload":"ca dd 16 83 60 b0 00 00 0e ca dd 12 83 60 aa 00 00 0a 00 5d bd 4b 31 01 74 00 00 00 00 00 00 00 00 00 00 00 00 00","raw":"yt0Wg2CwAAAOyt0Sg2CqAAAKAF29SzEBdAAAAAAAAAAAAAAAAAA=","remoteID":0,"remote_Btn":0,"remote_DidHitMe":0,"remote_compass":0,"remote_distance":0,"remote_lat":-90,"remote_lng":-180,"remote_radioSSN":0,"time":"2017-12-02T14:02:52.53176311Z"},{"arduino_VCC":0,"arduino_Vbat":4.26,"arduino_tempCPU":-7,"compass":225,"counter":4,"dataSetType":1,"device_id":"banaan1","gps_alt":0,"gps_hdop":2.3,"gps_lat":52.63822094429855,"gps_lng":4.749580904816412,"gps_prev_alt":0,"gps_prev_hdop":2.5,"gps_prev_lat":52.638435521032534,"gps_prev_lng":4.749967142937578,"myBtn":0,"myID":8,"payload":"ca dc fd 83 60 a2 00 00 17 ca dd 11 83 60 b4 00 00 19 00 5d d5 4b 81 00 04 00 00 00 00 00 00 00 00 00 00 00 00 00","raw":"ytz9g2CiAAAXyt0Rg2C0AAAZAF3VS4EABAAAAAAAAAAAAAAAAAA=","remoteID":0,"remote_Btn":0,"remote_DidHitMe":0,"remote_compass":0,"remote_distance":0,"remote_lat":-90,"remote_lng":-180,"remote_radioSSN":0,"time":"2017-12-02T14:03:59.592553494Z"},{"arduino_VCC":0,"arduino_Vbat":4.2,"arduino_tempCPU":-7,"compass":225,"counter":5,"dataSetType":1,"device_id":"banaan1","gps_alt":0,"gps_hdop":0,"gps_lat":52.63838187684905,"gps_lng":4.749774023877023,"gps_prev_alt":0,"gps_prev_hdop":2.3,"gps_prev_lat":52.63822094429855,"gps_prev_lng":4.749580904816412,"myBtn":0,"myID":8,"payload":"ca dd 0c 83 60 ab 00 00 00 ca dc fd 83 60 a2 00 00 17 00 5d d2 4b 81 00 05 00 00 00 00 00 00 00 00 00 00 00 00 00","raw":"yt0Mg2CrAAAAytz9g2CiAAAXAF3SS4EABQAAAAAAAAAAAAAAAAA=","remoteID":0,"remote_Btn":0,"remote_DidHitMe":0,"remote_compass":0,"remote_distance":0,"remote_lat":-90,"remote_lng":-180,"remote_radioSSN":0,"time":"2017-12-02T14:05:27.262026703Z"},{"arduino_VCC":0,"arduino_Vbat":4.18,"arduino_tempCPU":-7,"compass":225,"counter":335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4f 00 00 00 00 00 00 00 00 00 00 00 00 00","raw":"f///f///AqbKf///f///AqbKAF3RS1EBTwAAAAAAAAAAAAAAAAA=","remoteID":0,"remote_Btn":0,"remote_DidHitMe":0,"remote_compass":0,"remote_distance":0,"remote_lat":-90,"remote_lng":-180,"remote_radioSSN":0,"time":"2017-12-02T14:05:45.519953168Z"},{"arduino_VCC":1.1,"arduino_Vbat":3.94,"arduino_tempCPU":-9,"compass":225,"counter":8,"dataSetType":1,"device_id":"lora32u4-nummer-een","gps_alt":7,"gps_hdop":0.9,"gps_lat":52.638231673135266,"gps_lng":4.749967142937578,"gps_prev_alt":1,"gps_prev_hdop":1.5,"gps_prev_lat":52.638231673135266,"gps_prev_lng":4.750010058284374,"myBtn":0,"myID":1,"payload":"ca dc fe 83 60 b4 00 07 09 ca dc fe 83 60 b6 00 01 0f 37 5b c5 4b 11 00 08 00 00 00 00 00 00 00 00 00 00 00 00 00","raw":"ytz+g2C0AAcJytz+g2C2AAEPN1vFSxEACAAAAAAAAAAAAAAAAAA=","remoteID":0,"remote_Btn":0,"remote_DidHitMe":0,"remote_compass":0,"remote_distance":0,"remote_lat":-90,"remote_lng":-180,"remote_radioSSN":0,"time":"2017-12-02T14:06:46.472504365Z"},{"arduino_VCC":0,"arduino_Vbat":3.84,"arduino_tempCPU":-7,"compass":225,"counter":373,"dataSetType":1,"device_id":"lora32u4-nummer-drie","gps_alt":6,"gps_hdop":1,"gps_lat":52.63842479219585,"gps_lng":4.74981693922382,"gps_prev_alt":0,"gps_prev_hdop":1.4,"gps_prev_lat":52.63848916521604,"gps_prev_lng":4.749881312243986,"myBtn":0,"myID":3,"payload":"ca dd 10 83 60 ad 00 06 0a ca dd 16 83 60 b0 00 00 0e 00 5d c0 4b 31 01 75 00 00 00 00 00 00 00 00 00 00 00 00 00","raw":"yt0Qg2CtAAYKyt0Wg2CwAAAOAF3ASzEBdQAAAAAAAAAAAAAAAAA=","remoteID":0,"remote_Btn":0,"remote_DidHitMe":0,"remote_compass":0,"remote_distance":0,"remote_lat":-90,"remote_lng":-180,"remote_radioSSN":0,"time":"2017-12-02T14:06:53.580102805Z"},{"arduino_VCC":0,"arduino_Vbat":4.22,"arduino_tempCPU":-7,"compass":225,"counter":6,"dataSetType":1,"device_id":"banaan1","gps_alt":6,"gps_hdop":0.8,"gps_lat":52.63769523130031,"gps_lng":4.749967142937578,"gps_prev_alt":0,"gps_prev_hdop":0,"gps_prev_lat":52.63838187684905,"gps_prev_lng":4.749774023877023,"myBtn":0,"myID":8,"payload":"ca dc cc 83 60 b4 00 06 08 ca dd 0c 83 60 ab 00 00 00 00 5d d3 4b 81 00 06 00 00 00 00 00 00 00 00 00 00 00 00 00","raw":"ytzMg2C0AAYIyt0Mg2CrAAAAAF3TS4EABgAAAAAAAAAAAAAAAAA=","remoteID":0,"remote_Btn":0,"remote_DidHitMe":0,"remote_compass":0,"remote_distance":0,"remote_lat":-90,"remote_lng":-180,"remote_radioSSN":0,"time":"2017-12-02T14:06:55.704392237Z"},{"arduino_VCC":0,"arduino_Vbat":4.2,"arduino_tempCPU":-7,"compass":225,"counter":7,"dataSetType":1,"device_id":"banaan1","gps_alt":0,"gps_hdop":0.9,"gps_lat":52.63730899317915,"gps_lng":4.748314902085951,"gps_prev_alt":6,"gps_prev_hdop":0.8,"gps_prev_lat":52.63769523130031,"gps_prev_lng":4.749967142937578,"myBtn":0,"myID":8,"payload":"ca dc a8 83 60 67 00 00 09 ca dc cc 83 60 b4 00 06 08 00 5d d2 4b 81 00 07 00 00 00 00 00 00 00 00 00 00 00 00 00","raw":"ytyog2BnAAAJytzMg2C0AAYIAF3SS4EABwAAAAAAAAAAAAAAAAA=","remoteID":0,"remote_Btn":0,"remote_DidHitMe":0,"remote_compass":0,"remote_distance":0,"remote_lat":-90,"remote_lng":-180,"remote_radioSSN":0,"time":"2017-12-02T14:08:24.623453659Z"},{"arduino_VCC":0,"arduino_Vbat":4.24,"arduino_tempCPU":-7,"compass":225,"counter":8,"dataSetType":1,"device_id":"banaan1","gps_alt":0,"gps_hdop":0.7,"gps_lat":52.63649360159002,"gps_lng":4.747714087230804,"gps_prev_alt":0,"gps_prev_hdop":0.9,"gps_prev_lat":52.63730899317915,"gps_prev_lng":4.748314902085951,"myBtn":0,"myID":8,"payload":"ca dc 5c 83 60 4b 00 00 07 ca dc a8 83 60 67 00 00 09 00 5d d4 4b 81 00 08 00 00 00 00 00 00 00 00 00 00 00 00 00","raw":"ytxcg2BLAAAHytyog2BnAAAJAF3US4EACAAAAAAAAAAAAAAAAAA=","remoteID":0,"remote_Btn":0,"remote_DidHitMe":0,"remote_compass":0,"remote_distance":0,"remote_lat":-90,"remote_lng":-180,"remote_radioSSN":0,"time":"2017-12-02T14:09:53.592739836Z"},{"arduino_VCC":0,"arduino_Vbat":4.18,"arduino_tempCPU":-7,"compass":225,"counter":336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50 00 00 00 00 00 00 00 00 00 00 00 00 00","raw":"f///f///AqbKf///f///AqbKAF3RS1EBUAAAAAAAAAAAAAAAAAA=","remoteID":0,"remote_Btn":0,"remote_DidHitMe":0,"remote_compass":0,"remote_distance":0,"remote_lat":-90,"remote_lng":-180,"remote_radioSSN":0,"time":"2017-12-02T14:09:54.211304108Z"},{"arduino_VCC":1.1,"arduino_Vbat":3.98,"arduino_tempCPU":-9,"compass":225,"counter":9,"dataSetType":1,"device_id":"lora32u4-nummer-een","gps_alt":29,"gps_hdop":0.8,"gps_lat":52.63816730011507,"gps_lng":4.750267550365152,"gps_prev_alt":7,"gps_prev_hdop":0.9,"gps_prev_lat":52.638231673135266,"gps_prev_lng":4.749967142937578,"myBtn":0,"myID":1,"payload":"ca dc f8 83 60 c2 00 1d 08 ca dc fe 83 60 b4 00 07 09 37 5b c7 4b 11 00 09 00 00 00 00 00 00 00 00 00 00 00 00 00","raw":"ytz4g2DCAB0Iytz+g2C0AAcJN1vHSxEACQAAAAAAAAAAAAAAAAA=","remoteID":0,"remote_Btn":0,"remote_DidHitMe":0,"remote_compass":0,"remote_distance":0,"remote_lat":-90,"remote_lng":-180,"remote_radioSSN":0,"time":"2017-12-02T14:10:47.526404256Z"},{"arduino_VCC":0,"arduino_Vbat":3.84,"arduino_tempCPU":-7,"compass":225,"counter":374,"dataSetType":1,"device_id":"lora32u4-nummer-drie","gps_alt":14,"gps_hdop":1.1,"gps_lat":52.63834969033894,"gps_lng":4.749859854570616,"gps_prev_alt":6,"gps_prev_hdop":1,"gps_prev_lat":52.63842479219585,"gps_prev_lng":4.74981693922382,"myBtn":0,"myID":3,"payload":"ca dd 09 83 60 af 00 0e 0b ca dd 10 83 60 ad 00 06 0a 00 5d c0 4b 31 01 76 00 00 00 00 00 00 00 00 00 00 00 00 00","raw":"yt0Jg2CvAA4Lyt0Qg2CtAAYKAF3ASzEBdgAAAAAAAAAAAAAAAAA=","remoteID":0,"remote_Btn":0,"remote_DidHitMe":0,"remote_compass":0,"remote_distance":0,"remote_lat":-90,"remote_lng":-180,"remote_radioSSN":0,"time":"2017-12-02T14:10:54.629128536Z"},{"arduino_VCC":0,"arduino_Vbat":4.28,"arduino_tempCPU":-8,"compass":225,"counter":9,"dataSetType":1,"device_id":"banaan1","gps_alt":0,"gps_hdop":0.9,"gps_lat":52.63578549836788,"gps_lng":4.746963068661842,"gps_prev_alt":0,"gps_prev_hdop":0.7,"gps_prev_lat":52.63649360159002,"gps_prev_lng":4.747714087230804,"myBtn":0,"myID":8,"payload":"ca dc 1a 83 60 28 00 00 09 ca dc 5c 83 60 4b 00 00 07 00 5c d6 4b 81 00 09 00 00 00 00 00 00 00 00 00 00 00 00 00","raw":"ytwag2AoAAAJytxcg2BLAAAHAFzWS4EACQAAAAAAAAAAAAAAAAA=","remoteID":0,"remote_Btn":0,"remote_DidHitMe":0,"remote_compass":0,"remote_distance":0,"remote_lat":-90,"remote_lng":-180,"remote_radioSSN":0,"time":"2017-12-02T14:11:22.534072433Z"},{"arduino_VCC":0,"arduino_Vbat":4.2,"arduino_tempCPU":-7,"compass":225,"counter":10,"dataSetType":1,"device_id":"banaan1","gps_alt":5,"gps_hdop":0.9,"gps_lat":52.63577476953117,"gps_lng":4.745761438951547,"gps_prev_alt":0,"gps_prev_hdop":0.9,"gps_prev_lat":52.63578549836788,"gps_prev_lng":4.746963068661842,"myBtn":0,"myID":8,"payload":"ca dc 19 83 5f f0 00 05 09 ca dc 1a 83 60 28 00 00 09 00 5d d2 4b 81 00 0a 00 00 00 00 00 00 00 00 00 00 00 00 00","raw":"ytwZg1/wAAUJytwag2AoAAAJAF3SS4EACgAAAAAAAAAAAAAAAAA=","remoteID":0,"remote_Btn":0,"remote_DidHitMe":0,"remote_compass":0,"remote_distance":0,"remote_lat":-90,"remote_lng":-180,"remote_radioSSN":0,"time":"2017-12-02T14:12:51.203400747Z"},{"arduino_VCC":0,"arduino_Vbat":4.18,"arduino_tempCPU":-7,"compass":225,"counter":337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d1 4b 51 01 51 00 00 00 00 00 00 00 00 00 00 00 00 00","raw":"f///f///AqbKf///f///AqbKAF3RS1EBUQAAAAAAAAAAAAAAAAA=","remoteID":0,"remote_Btn":0,"remote_DidHitMe":0,"remote_compass":0,"remote_distance":0,"remote_lat":-90,"remote_lng":-180,"remote_radioSSN":0,"time":"2017-12-02T14:14:02.650151377Z"},{"arduino_VCC":0,"arduino_Vbat":4.18,"arduino_tempCPU":-7,"compass":225,"counter":11,"dataSetType":1,"device_id":"banaan1","gps_alt":0,"gps_hdop":0.9,"gps_lat":52.63520614118613,"gps_lng":4.745568319890992,"gps_prev_alt":5,"gps_prev_hdop":0.9,"gps_prev_lat":52.63577476953117,"gps_prev_lng":4.745761438951547,"myBtn":0,"myID":8,"payload":"ca db e4 83 5f e7 00 00 09 ca dc 19 83 5f f0 00 05 09 00 5d d1 4b 81 00 0b 00 00 00 00 00 00 00 00 00 00 00 00 00","raw":"ytvkg1/nAAAJytwZg1/wAAUJAF3RS4EACwAAAAAAAAAAAAAAAAA=","remoteID":0,"remote_Btn":0,"remote_DidHitMe":0,"remote_compass":0,"remote_distance":0,"remote_lat":-90,"remote_lng":-180,"remote_radioSSN":0,"time":"2017-12-02T14:14:19.629170616Z"},{"arduino_VCC":1.1,"arduino_Vbat":3.94,"arduino_tempCPU":-9,"compass":225,"counter":10,"dataSetType":1,"device_id":"lora32u4-nummer-een","gps_alt":16,"gps_hdop":0.8,"gps_lat":52.638231673135266,"gps_lng":4.749967142937578,"gps_prev_alt":29,"gps_prev_hdop":0.8,"gps_prev_lat":52.63816730011507,"gps_prev_lng":4.750267550365152,"myBtn":0,"myID":1,"payload":"ca dc fe 83 60 b4 00 10 08 ca dc f8 83 60 c2 00 1d 08 37 5b c5 4b 11 00 0a 00 00 00 00 00 00 00 00 00 00 00 00 00","raw":"ytz+g2C0ABAIytz4g2DCAB0IN1vFSxEACgAAAAAAAAAAAAAAAAA=","remoteID":0,"remote_Btn":0,"remote_DidHitMe":0,"remote_compass":0,"remote_distance":0,"remote_lat":-90,"remote_lng":-180,"remote_radioSSN":0,"time":"2017-12-02T14:14:48.572959063Z"},{"arduino_VCC":0,"arduino_Vbat":4.16,"arduino_tempCPU":-8,"compass":225,"counter":12,"dataSetType":1,"device_id":"banaan1","gps_alt":0,"gps_hdop":1.3,"gps_lat":52.634079613332716,"gps_lng":4.745031878056011,"gps_prev_alt":0,"gps_prev_hdop":0.9,"gps_prev_lat":52.63520614118613,"gps_prev_lng":4.745568319890992,"myBtn":0,"myID":8,"payload":"ca db 7b 83 5f ce 00 00 0d ca db e4 83 5f e7 00 00 09 00 5c d0 4b 81 00 0c 00 00 00 00 00 00 00 00 00 00 00 00 00","raw":"ytt7g1/OAAANytvkg1/nAAAJAFzQS4EADAAAAAAAAAAAAAAAAAA=","remoteID":0,"remote_Btn":0,"remote_DidHitMe":0,"remote_compass":0,"remote_distance":0,"remote_lat":-90,"remote_lng":-180,"remote_radioSSN":0,"time":"2017-12-02T14:15:48.574904094Z"},{"arduino_VCC":0,"arduino_Vbat":4.22,"arduino_tempCPU":-8,"compass":225,"counter":13,"dataSetType":1,"device_id":"banaan1","gps_alt":0,"gps_hdop":0.9,"gps_lat":52.63308183151972,"gps_lng":4.744173571120086,"gps_prev_alt":0,"gps_prev_hdop":1.3,"gps_prev_lat":52.634079613332716,"gps_prev_lng":4.745031878056011,"myBtn":0,"myID":8,"payload":"ca db 1e 83 5f a6 00 00 09 ca db 7b 83 5f ce 00 00 0d 00 5c d3 4b 81 00 0d 00 00 00 00 00 00 00 00 00 00 00 00 00","raw":"ytseg1+mAAAJytt7g1/OAAANAFzTS4EADQAAAAAAAAAAAAAAAAA=","remoteID":0,"remote_Btn":0,"remote_DidHitMe":0,"remote_compass":0,"remote_distance":0,"remote_lat":-90,"remote_lng":-180,"remote_radioSSN":0,"time":"2017-12-02T14:17:17.526660438Z"},{"arduino_VCC":0,"arduino_Vbat":4.16,"arduino_tempCPU":-7,"compass":225,"counter":338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52 00 00 00 00 00 00 00 00 00 00 00 00 00","raw":"f///f///AqbKf///f///AqbKAF3QS1EBUgAAAAAAAAAAAAAAAAA=","remoteID":0,"remote_Btn":0,"remote_DidHitMe":0,"remote_compass":0,"remote_distance":0,"remote_lat":-90,"remote_lng":-180,"remote_radioSSN":0,"time":"2017-12-02T14:18:11.098352034Z"},{"arduino_VCC":0,"arduino_Vbat":4.2,"arduino_tempCPU":-7,"compass":225,"counter":14,"dataSetType":1,"device_id":"banaan1","gps_alt":16,"gps_hdop":0.7,"gps_lat":52.632330812950784,"gps_lng":4.745096251076234,"gps_prev_alt":0,"gps_prev_hdop":0.9,"gps_prev_lat":52.63308183151972,"gps_prev_lng":4.744173571120086,"myBtn":0,"myID":8,"payload":"ca da d8 83 5f d1 00 10 07 ca db 1e 83 5f a6 00 00 09 00 5d d2 4b 81 00 0e 00 00 00 00 00 00 00 00 00 00 00 00 00","raw":"ytrYg1/RABAHytseg1+mAAAJAF3SS4EADgAAAAAAAAAAAAAAAAA=","remoteID":0,"remote_Btn":0,"remote_DidHitMe":0,"remote_compass":0,"remote_distance":0,"remote_lat":-90,"remote_lng":-180,"remote_radioSSN":0,"time":"2017-12-02T14:18:45.663614739Z"},{"arduino_VCC":1.1,"arduino_Vbat":3.94,"arduino_tempCPU":-9,"compass":225,"counter":11,"dataSetType":1,"device_id":"lora32u4-nummer-een","gps_alt":54,"gps_hdop":0.8,"gps_lat":52.63813511360496,"gps_lng":4.750095888977967,"gps_prev_alt":16,"gps_prev_hdop":0.8,"gps_prev_lat":52.638231673135266,"gps_prev_lng":4.749967142937578,"myBtn":0,"myID":1,"payload":"ca dc f5 83 60 ba 00 36 08 ca dc fe 83 60 b4 00 10 08 37 5b c5 4b 11 00 0b 00 00 00 00 00 00 00 00 00 00 00 00 00","raw":"ytz1g2C6ADYIytz+g2C0ABAIN1vFSxEACwAAAAAAAAAAAAAAAAA=","remoteID":0,"remote_Btn":0,"remote_DidHitMe":0,"remote_compass":0,"remote_distance":0,"remote_lat":-90,"remote_lng":-180,"remote_radioSSN":0,"time":"2017-12-02T14:18:49.615770501Z"},{"arduino_VCC":0,"arduino_Vbat":3.76,"arduino_tempCPU":-7,"compass":225,"counter":376,"dataSetType":1,"device_id":"lora32u4-nummer-drie","gps_alt":41,"gps_hdop":0.8,"gps_lat":52.63811365593156,"gps_lng":4.7500529736311705,"gps_prev_alt":0,"gps_prev_hdop":1.1,"gps_prev_lat":52.63838187684905,"gps_prev_lng":4.749881312243986,"myBtn":0,"myID":3,"payload":"ca dc f3 83 60 b8 00 29 08 ca dd 0c 83 60 b0 00 00 0b 00 5d bc 4b 31 01 78 00 00 00 00 00 00 00 00 00 00 00 00 00","raw":"ytzzg2C4ACkIyt0Mg2CwAAALAF28SzEBeAAAAAAAAAAAAAAAAAA=","remoteID":0,"remote_Btn":0,"remote_DidHitMe":0,"remote_compass":0,"remote_distance":0,"remote_lat":-90,"remote_lng":-180,"remote_radioSSN":0,"time":"2017-12-02T14:18:56.469084409Z"},{"arduino_VCC":0,"arduino_Vbat":4.18,"arduino_tempCPU":-8,"compass":225,"counter":15,"dataSetType":1,"device_id":"banaan1","gps_alt":19,"gps_hdop":0.7,"gps_lat":52.63179437111583,"gps_lng":4.746619745887472,"gps_prev_alt":16,"gps_prev_hdop":0.7,"gps_prev_lat":52.632330812950784,"gps_prev_lng":4.745096251076234,"myBtn":0,"myID":8,"payload":"ca da a6 83 60 18 00 13 07 ca da d8 83 5f d1 00 10 07 00 5c d1 4b 81 00 0f 00 00 00 00 00 00 00 00 00 00 00 00 00","raw":"ytqmg2AYABMHytrYg1/RABAHAFzRS4EADwAAAAAAAAAAAAAAAAA=","remoteID":0,"remote_Btn":0,"remote_DidHitMe":0,"remote_compass":0,"remote_distance":0,"remote_lat":-90,"remote_lng":-180,"remote_radioSSN":0,"time":"2017-12-02T14:20:13.27742626Z"},{"arduino_VCC":0,"arduino_Vbat":4.16,"arduino_tempCPU":-7,"compass":225,"counter":339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53 00 00 00 00 00 00 00 00 00 00 00 00 00","raw":"f///f///AqbKf///f///AqbKAF3QS1EBUwAAAAAAAAAAAAAAAAA=","remoteID":0,"remote_Btn":0,"remote_DidHitMe":0,"remote_compass":0,"remote_distance":0,"remote_lat":-90,"remote_lng":-180,"remote_radioSSN":0,"time":"2017-12-02T14:22:19.533903249Z"},{"arduino_VCC":1.1,"arduino_Vbat":3.98,"arduino_tempCPU":-9,"compass":225,"counter":12,"dataSetType":1,"device_id":"lora32u4-nummer-een","gps_alt":32,"gps_hdop":0.8,"gps_lat":52.63810292709488,"gps_lng":4.750031515957801,"gps_prev_alt":54,"gps_prev_hdop":0.8,"gps_prev_lat":52.63813511360496,"gps_prev_lng":4.750095888977967,"myBtn":0,"myID":1,"payload":"ca dc f2 83 60 b7 00 20 08 ca dc f5 83 60 ba 00 36 08 37 5b c7 4b 11 00 0c 00 00 00 00 00 00 00 00 00 00 00 00 00","raw":"ytzyg2C3ACAIytz1g2C6ADYIN1vHSxEADAAAAAAAAAAAAAAAAAA=","remoteID":0,"remote_Btn":0,"remote_DidHitMe":0,"remote_compass":0,"remote_distance":0,"remote_lat":-90,"remote_lng":-180,"remote_radioSSN":0,"time":"2017-12-02T14:22:50.415723577Z"},{"arduino_VCC":0,"arduino_Vbat":3.84,"arduino_tempCPU":-7,"compass":225,"counter":377,"dataSetType":1,"device_id":"lora32u4-nummer-drie","gps_alt":25,"gps_hdop":0.9,"gps_lat":52.638092198258164,"gps_lng":4.749967142937578,"gps_prev_alt":41,"gps_prev_hdop":0.8,"gps_prev_lat":52.63811365593156,"gps_prev_lng":4.7500529736311705,"myBtn":0,"myID":3,"payload":"ca dc f1 83 60 b4 00 19 09 ca dc f3 83 60 b8 00 29 08 00 5d c0 4b 31 01 79 00 00 00 00 00 00 00 00 00 00 00 00 00","raw":"ytzxg2C0ABkJytzzg2C4ACkIAF3ASzEBeQAAAAAAAAAAAAAAAAA=","remoteID":0,"remote_Btn":0,"remote_DidHitMe":0,"remote_compass":0,"remote_distance":0,"remote_lat":-90,"remote_lng":-180,"remote_radioSSN":0,"time":"2017-12-02T14:22:57.520163584Z"},{"arduino_VCC":0,"arduino_Vbat":4.16,"arduino_tempCPU":-7,"compass":225,"counter":340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54 00 00 00 00 00 00 00 00 00 00 00 00 00","raw":"f///f///AqbKf///f///AqbKAF3QS1EBVAAAAAAAAAAAAAAAAAA=","remoteID":0,"remote_Btn":0,"remote_DidHitMe":0,"remote_compass":0,"remote_distance":0,"remote_lat":-90,"remote_lng":-180,"remote_radioSSN":0,"time":"2017-12-02T14:26:28.232598909Z"},{"arduino_VCC":1.1,"arduino_Vbat":4,"arduino_tempCPU":-9,"compass":225,"counter":13,"dataSetType":1,"device_id":"lora32u4-nummer-een","gps_alt":15,"gps_hdop":0.8,"gps_lat":52.638306774992145,"gps_lng":4.749945685264208,"gps_prev_alt":32,"gps_prev_hdop":0.8,"gps_prev_lat":52.63810292709488,"gps_prev_lng":4.750031515957801,"myBtn":0,"myID":1,"payload":"ca dd 05 83 60 b3 00 0f 08 ca dc f2 83 60 b7 00 20 08 37 5b c8 4b 11 00 0d 00 00 00 00 00 00 00 00 00 00 00 00 00","raw":"yt0Fg2CzAA8Iytzyg2C3ACAIN1vISxEADQAAAAAAAAAAAAAAAAA=","remoteID":0,"remote_Btn":0,"remote_DidHitMe":0,"remote_compass":0,"remote_distance":0,"remote_lat":-90,"remote_lng":-180,"remote_radioSSN":0,"time":"2017-12-02T14:26:51.47436115Z"},{"arduino_VCC":0,"arduino_Vbat":3.78,"arduino_tempCPU":-7,"compass":225,"counter":378,"dataSetType":1,"device_id":"lora32u4-nummer-drie","gps_alt":25,"gps_hdop":0.9,"gps_lat":52.638306774992145,"gps_lng":4.749881312243986,"gps_prev_alt":25,"gps_prev_hdop":0.9,"gps_prev_lat":52.638092198258164,"gps_prev_lng":4.749967142937578,"myBtn":0,"myID":3,"payload":"ca dd 05 83 60 b0 00 19 09 ca dc f1 83 60 b4 00 19 09 00 5d bd 4b 31 01 7a 00 00 00 00 00 00 00 00 00 00 00 00 00","raw":"yt0Fg2CwABkJytzxg2C0ABkJAF29SzEBegAAAAAAAAAAAAAAAAA=","remoteID":0,"remote_Btn":0,"remote_DidHitMe":0,"remote_compass":0,"remote_distance":0,"remote_lat":-90,"remote_lng":-180,"remote_radioSSN":0,"time":"2017-12-02T14:26:58.569442011Z"},{"arduino_VCC":0,"arduino_Vbat":4.14,"arduino_tempCPU":-7,"compass":225,"counter":20,"dataSetType":1,"device_id":"banaan1","gps_alt":0,"gps_hdop":0.8,"gps_lat":52.63026014746785,"gps_lng":4.749945685264208,"gps_prev_alt":8,"gps_prev_hdop":0.7,"gps_prev_lat":52.62948767122552,"gps_prev_lng":4.749752566203597,"myBtn":0,"myID":8,"payload":"ca da 17 83 60 b3 00 00 08 ca d9 cf 83 60 aa 00 08 07 00 5d cf 4b 81 00 14 00 00 00 00 00 00 00 00 00 00 00 00 00","raw":"ytoXg2CzAAAIytnPg2CqAAgHAF3PS4EAFAAAAAAAAAAAAAAAAAA=","remoteID":0,"remote_Btn":0,"remote_DidHitMe":0,"remote_compass":0,"remote_distance":0,"remote_lat":-90,"remote_lng":-180,"remote_radioSSN":0,"time":"2017-12-02T14:27:31.9948221Z"},{"arduino_VCC":0,"arduino_Vbat":4.12,"arduino_tempCPU":-7,"compass":225,"counter":21,"dataSetType":1,"device_id":"banaan1","gps_alt":0,"gps_hdop":1,"gps_lat":52.63115064091389,"gps_lng":4.750460669425763,"gps_prev_alt":0,"gps_prev_hdop":0.8,"gps_prev_lat":52.63026014746785,"gps_prev_lng":4.749945685264208,"myBtn":0,"myID":8,"payload":"ca da 6a 83 60 cb 00 00 0a ca da 17 83 60 b3 00 00 08 00 5d ce 4b 81 00 15 00 00 00 00 00 00 00 00 00 00 00 00 00","raw":"ytpqg2DLAAAKytoXg2CzAAAIAF3OS4EAFQAAAAAAAAAAAAAAAAA=","remoteID":0,"remote_Btn":0,"remote_DidHitMe":0,"remote_compass":0,"remote_distance":0,"remote_lat":-90,"remote_lng":-180,"remote_radioSSN":0,"time":"2017-12-02T14:28:59.879337325Z"},{"arduino_VCC":0,"arduino_Vbat":4.12,"arduino_tempCPU":-7,"compass":225,"counter":22,"dataSetType":1,"device_id":"banaan1","gps_alt":0,"gps_hdop":0.7,"gps_lat":52.63203040552321,"gps_lng":4.750997111260688,"gps_prev_alt":0,"gps_prev_hdop":1,"gps_prev_lat":52.63115064091389,"gps_prev_lng":4.750460669425763,"myBtn":0,"myID":8,"payload":"ca da bc 83 60 e4 00 00 07 ca da 6a 83 60 cb 00 00 0a 00 5d ce 4b 81 00 16 00 00 00 00 00 00 00 00 00 00 00 00 00","raw":"ytq8g2DkAAAHytpqg2DLAAAKAF3OS4EAFgAAAAAAAAAAAAAAAAA=","remoteID":0,"remote_Btn":0,"remote_DidHitMe":0,"remote_compass":0,"remote_distance":0,"remote_lat":-90,"remote_lng":-180,"remote_radioSSN":0,"time":"2017-12-02T14:30:28.068229599Z"},{"arduino_VCC":0,"arduino_Vbat":4.16,"arduino_tempCPU":-7,"compass":225,"counter":341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d0 4b 51 01 55 00 00 00 00 00 00 00 00 00 00 00 00 00","raw":"f///f///AqbKf///f///AqbKAF3QS1EBVQAAAAAAAAAAAAAAAAA=","remoteID":0,"remote_Btn":0,"remote_DidHitMe":0,"remote_compass":0,"remote_distance":0,"remote_lat":-90,"remote_lng":-180,"remote_radioSSN":0,"time":"2017-12-02T14:30:36.671327102Z"},{"arduino_VCC":1.1,"arduino_Vbat":3.96,"arduino_tempCPU":-9,"compass":225,"counter":1</t>
  </si>
  <si>
    <t>[{"arduino_VCC":0,"arduino_Vbat":4.26,"arduino_tempCPU":-7,"compass":225,"counter":2,"dataSetType":1,"device_id":"banaan1","gps_alt":7,"gps_hdop":2.5,"gps_lat":52.63838187684905,"gps_lng":4.749731108530227,"gps_prev_alt":3,"gps_prev_hdop":1.9,"gps_prev_lat":52.638435521032534,"gps_prev_lng":4.749752566203597,"myBtn":0,"myID":8,"payload":"ca dd 0c 83 60 a9 00 07 19 ca dd 11 83 60 aa 00 03 13 00 5d d5 4b 81 00 02 00 00 00 00 00 00 00 00 00 00 00 00 00","raw":"yt0Mg2CpAAcZyt0Rg2CqAAMTAF3VS4EAAgAAAAAAAAAAAAAAAAA=","remoteID":0,"remote_Btn":0,"remote_DidHitMe":0,"remote_compass":0,"remote_distance":0,"remote_lat":-90,"remote_lng":-180,"remote_radioSSN":0,"time":"2017-12-02T13:52:36.497233306Z"</t>
  </si>
  <si>
    <t>{"arduino_VCC":1.1,"arduino_Vbat":4.06,"arduino_tempCPU":-9,"compass":225,"counter":33,"dataSetType":1,"device_id":"lora32u4-nummer-een","gps_alt":17,"gps_hdop":1.3,"gps_lat":52.63853208056284,"gps_lng":4.7494307011026535,"gps_prev_alt":4,"gps_prev_hdop":1.2,"gps_prev_lat":52.63834969033894,"gps_prev_lng":4.749752566203597,"myBtn":0,"myID":1,"payload":"ca dd 1a 83 60 9b 00 11 0d ca dd 09 83 60 aa 00 04 0c 37 5b cb 4b 11 00 21 00 00 00 00 00 00 00 00 00 00 00 00 00","raw":"yt0ag2CbABENyt0Jg2CqAAQMN1vLSxEAIQAAAAAAAAAAAAAAAAA=","remoteID":0,"remote_Btn":0,"remote_DidHitMe":0,"remote_compass":0,"remote_distance":0,"remote_lat":-90,"remote_lng":-180,"remote_radioSSN":0,"time":"2017-12-02T15:47:11.427366076Z"</t>
  </si>
  <si>
    <t>{"arduino_VCC":0,"arduino_Vbat":4.14,"arduino_tempCPU":-8,"compass":225,"counter":6,"dataSetType":1,"device_id":"banaan1","gps_alt":0,"gps_hdop":0.8,"gps_lat":52.63837114801234,"gps_lng":4.749752566203597,"gps_prev_alt":0,"gps_prev_hdop":0.8,"gps_prev_lat":52.63840333452245,"gps_prev_lng":4.749688193183431,"myBtn":0,"myID":8,"payload":"ca dd 0b 83 60 aa 00 00 08 ca dd 0e 83 60 a7 00 00 08 00 5c cf 4b 81 00 06 00 00 00 00 00 00 00 00 00 00 00 00 00","raw":"yt0Lg2CqAAAIyt0Og2CnAAAIAFzPS4EABgAAAAAAAAAAAAAAAAA=","remoteID":0,"remote_Btn":0,"remote_DidHitMe":0,"remote_compass":0,"remote_distance":0,"remote_lat":-90,"remote_lng":-180,"remote_radioSSN":0,"time":"2017-12-02T15:48:36.43857067Z"</t>
  </si>
  <si>
    <t>ca dd 0b 83 60 aa 00 00 08 ca dd 0e 83 60 a7 00 00 08 00 5c cf 4b 81 00 06 00 00 00 00 00 00 00 00 00 00 00 00 00</t>
  </si>
  <si>
    <t>{"arduino_VCC":0,"arduino_Vbat":4.12,"arduino_tempCPU":-7,"compass":225,"counter":360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ce 4b 51 01 68 00 00 00 00 00 00 00 00 00 00 00 00 00","raw":"f///f///AqbKf///f///AqbKAF3OS1EBaAAAAAAAAAAAAAAAAAA=","remoteID":0,"remote_Btn":0,"remote_DidHitMe":0,"remote_compass":0,"remote_distance":0,"remote_lat":-90,"remote_lng":-180,"remote_radioSSN":0,"time":"2017-12-02T15:49:18.545906312Z"</t>
  </si>
  <si>
    <t>7f ff ff 7f ff ff 02 a6 ca 7f ff ff 7f ff ff 02 a6 ca 00 5d ce 4b 51 01 68 00 00 00 00 00 00 00 00 00 00 00 00 00</t>
  </si>
  <si>
    <t xml:space="preserve">{"arduino_VCC":1.1,"arduino_Vbat":4.16,"arduino_tempCPU":-9,"compass":225,"counter":34,"dataSetType":1,"device_id":"lora32u4-nummer-een","gps_alt":0,"gps_hdop":1.2,"gps_lat":52.638435521032534,"gps_lng":4.749645277836635,"gps_prev_alt":17,"gps_prev_hdop":1.3,"gps_prev_lat":52.63853208056284,"gps_prev_lng":4.7494307011026535,"myBtn":0,"myID":1,"payload":"ca dd 11 83 60 a5 00 00 0c ca dd 1a 83 60 9b 00 11 0d 37 5b d0 4b 11 00 22 00 00 00 00 00 00 00 00 00 00 00 00 00","raw":"yt0Rg2ClAAAMyt0ag2CbABENN1vQSxEAIgAAAAAAAAAAAAAAAAA=","remoteID":0,"remote_Btn":0,"remote_DidHitMe":0,"remote_compass":0,"remote_distance":0,"remote_lat":-90,"remote_lng":-180,"remote_radioSSN":0,"time":"2017-12-02T15:51:12.474288154Z"}]
</t>
  </si>
  <si>
    <t>ca dd 11 83 60 a5 00 00 0c ca dd 1a 83 60 9b 00 11 0d 37 5b d0 4b 11 00 22 00 00 00 00 00 00 00 00 00 00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</si>
</sst>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0"/>
    <numFmt numFmtId="165" formatCode="0.0"/>
    <numFmt numFmtId="166" formatCode="d/m/yyyy\ hh:mm:ss"/>
    <numFmt numFmtId="167" formatCode="d/m/yy\ hh:mm"/>
    <numFmt numFmtId="168" formatCode="h:mm:ss;@"/>
    <numFmt numFmtId="169" formatCode="m/d/yyyy\ 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11" fontId="0" fillId="0" borderId="0" xfId="0" applyNumberFormat="1"/>
    <xf numFmtId="169" fontId="1" fillId="2" borderId="2" xfId="0" applyNumberFormat="1" applyFont="1" applyFill="1" applyBorder="1" applyAlignment="1"/>
    <xf numFmtId="169" fontId="0" fillId="0" borderId="0" xfId="0" applyNumberFormat="1"/>
    <xf numFmtId="0" fontId="0" fillId="0" borderId="1" xfId="0" applyBorder="1"/>
    <xf numFmtId="169" fontId="0" fillId="0" borderId="1" xfId="0" applyNumberFormat="1" applyBorder="1"/>
    <xf numFmtId="169" fontId="0" fillId="4" borderId="0" xfId="0" applyNumberFormat="1" applyFill="1"/>
    <xf numFmtId="11" fontId="0" fillId="4" borderId="0" xfId="0" applyNumberFormat="1" applyFill="1"/>
    <xf numFmtId="0" fontId="0" fillId="0" borderId="0" xfId="0" applyFill="1"/>
    <xf numFmtId="0" fontId="0" fillId="5" borderId="0" xfId="0" applyFill="1"/>
    <xf numFmtId="169" fontId="0" fillId="0" borderId="0" xfId="0" applyNumberFormat="1" applyFill="1"/>
    <xf numFmtId="14" fontId="1" fillId="0" borderId="1" xfId="0" applyNumberFormat="1" applyFont="1" applyFill="1" applyBorder="1" applyAlignment="1"/>
    <xf numFmtId="0" fontId="0" fillId="0" borderId="1" xfId="0" applyFill="1" applyBorder="1"/>
    <xf numFmtId="0" fontId="0" fillId="0" borderId="3" xfId="0" applyBorder="1"/>
    <xf numFmtId="0" fontId="0" fillId="0" borderId="2" xfId="0" applyBorder="1"/>
    <xf numFmtId="0" fontId="0" fillId="4" borderId="3" xfId="0" applyFill="1" applyBorder="1"/>
    <xf numFmtId="0" fontId="0" fillId="6" borderId="3" xfId="0" applyFill="1" applyBorder="1"/>
    <xf numFmtId="0" fontId="0" fillId="0" borderId="3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6"/>
          <c:order val="6"/>
          <c:tx>
            <c:strRef>
              <c:f>data!$N$1</c:f>
              <c:strCache>
                <c:ptCount val="1"/>
                <c:pt idx="0">
                  <c:v>CPU VCC (volt)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43071.578194444446</c:v>
                </c:pt>
                <c:pt idx="1">
                  <c:v>43071.578692129631</c:v>
                </c:pt>
                <c:pt idx="2">
                  <c:v>43071.579664351855</c:v>
                </c:pt>
                <c:pt idx="3">
                  <c:v>43071.579745370371</c:v>
                </c:pt>
                <c:pt idx="4">
                  <c:v>43071.581574074073</c:v>
                </c:pt>
                <c:pt idx="5">
                  <c:v>43071.581793981481</c:v>
                </c:pt>
                <c:pt idx="6">
                  <c:v>43071.582453703704</c:v>
                </c:pt>
                <c:pt idx="7">
                  <c:v>43071.58253472222</c:v>
                </c:pt>
                <c:pt idx="8">
                  <c:v>43071.583055555559</c:v>
                </c:pt>
                <c:pt idx="9">
                  <c:v>43071.584456018521</c:v>
                </c:pt>
                <c:pt idx="10">
                  <c:v>43071.585081018522</c:v>
                </c:pt>
                <c:pt idx="11">
                  <c:v>43071.585243055553</c:v>
                </c:pt>
                <c:pt idx="12">
                  <c:v>43071.585324074076</c:v>
                </c:pt>
                <c:pt idx="13">
                  <c:v>43071.586099537039</c:v>
                </c:pt>
                <c:pt idx="14">
                  <c:v>43071.587118055555</c:v>
                </c:pt>
                <c:pt idx="15">
                  <c:v>43071.587326388886</c:v>
                </c:pt>
                <c:pt idx="16">
                  <c:v>43071.58803240741</c:v>
                </c:pt>
                <c:pt idx="17">
                  <c:v>43071.588113425925</c:v>
                </c:pt>
                <c:pt idx="18">
                  <c:v>43071.588136574072</c:v>
                </c:pt>
                <c:pt idx="19">
                  <c:v>43071.589166666665</c:v>
                </c:pt>
                <c:pt idx="20">
                  <c:v>43071.590196759258</c:v>
                </c:pt>
                <c:pt idx="21">
                  <c:v>43071.590208333335</c:v>
                </c:pt>
                <c:pt idx="22">
                  <c:v>43071.590821759259</c:v>
                </c:pt>
                <c:pt idx="23">
                  <c:v>43071.590902777774</c:v>
                </c:pt>
                <c:pt idx="24">
                  <c:v>43071.591226851851</c:v>
                </c:pt>
                <c:pt idx="25">
                  <c:v>43071.592256944445</c:v>
                </c:pt>
                <c:pt idx="26">
                  <c:v>43071.593078703707</c:v>
                </c:pt>
                <c:pt idx="27">
                  <c:v>43071.593275462961</c:v>
                </c:pt>
                <c:pt idx="28">
                  <c:v>43071.593611111108</c:v>
                </c:pt>
                <c:pt idx="29">
                  <c:v>43071.594305555554</c:v>
                </c:pt>
                <c:pt idx="30">
                  <c:v>43071.595335648148</c:v>
                </c:pt>
                <c:pt idx="31">
                  <c:v>43071.595960648148</c:v>
                </c:pt>
                <c:pt idx="32">
                  <c:v>43071.596354166664</c:v>
                </c:pt>
                <c:pt idx="33">
                  <c:v>43071.596400462964</c:v>
                </c:pt>
                <c:pt idx="34">
                  <c:v>43071.59648148148</c:v>
                </c:pt>
                <c:pt idx="35">
                  <c:v>43071.597372685188</c:v>
                </c:pt>
                <c:pt idx="36">
                  <c:v>43071.59883101852</c:v>
                </c:pt>
                <c:pt idx="37">
                  <c:v>43071.599189814813</c:v>
                </c:pt>
                <c:pt idx="38">
                  <c:v>43071.599270833336</c:v>
                </c:pt>
                <c:pt idx="39">
                  <c:v>43071.601712962962</c:v>
                </c:pt>
                <c:pt idx="40">
                  <c:v>43071.601979166669</c:v>
                </c:pt>
                <c:pt idx="41">
                  <c:v>43071.602060185185</c:v>
                </c:pt>
                <c:pt idx="42">
                  <c:v>43071.602442129632</c:v>
                </c:pt>
                <c:pt idx="43">
                  <c:v>43071.603460648148</c:v>
                </c:pt>
                <c:pt idx="44">
                  <c:v>43071.604490740741</c:v>
                </c:pt>
                <c:pt idx="45">
                  <c:v>43071.604583333334</c:v>
                </c:pt>
                <c:pt idx="46">
                  <c:v>43071.604768518519</c:v>
                </c:pt>
                <c:pt idx="47">
                  <c:v>43071.604849537034</c:v>
                </c:pt>
                <c:pt idx="48">
                  <c:v>43071.605509259258</c:v>
                </c:pt>
                <c:pt idx="49">
                  <c:v>43071.606527777774</c:v>
                </c:pt>
                <c:pt idx="50">
                  <c:v>43071.607465277775</c:v>
                </c:pt>
                <c:pt idx="51">
                  <c:v>43071.607557870368</c:v>
                </c:pt>
                <c:pt idx="52">
                  <c:v>43071.607557870368</c:v>
                </c:pt>
                <c:pt idx="53">
                  <c:v>43071.607638888891</c:v>
                </c:pt>
                <c:pt idx="54">
                  <c:v>43071.608564814815</c:v>
                </c:pt>
                <c:pt idx="55">
                  <c:v>43071.609583333331</c:v>
                </c:pt>
                <c:pt idx="56">
                  <c:v>43071.610335648147</c:v>
                </c:pt>
                <c:pt idx="57">
                  <c:v>43071.610347222224</c:v>
                </c:pt>
                <c:pt idx="58">
                  <c:v>43071.61042824074</c:v>
                </c:pt>
                <c:pt idx="59">
                  <c:v>43071.610601851855</c:v>
                </c:pt>
                <c:pt idx="60">
                  <c:v>43071.611620370371</c:v>
                </c:pt>
                <c:pt idx="61">
                  <c:v>43071.612650462965</c:v>
                </c:pt>
                <c:pt idx="62">
                  <c:v>43071.613136574073</c:v>
                </c:pt>
                <c:pt idx="63">
                  <c:v>43071.613217592596</c:v>
                </c:pt>
                <c:pt idx="64">
                  <c:v>43071.613217592596</c:v>
                </c:pt>
                <c:pt idx="65">
                  <c:v>43071.614675925928</c:v>
                </c:pt>
                <c:pt idx="66">
                  <c:v>43071.615127314813</c:v>
                </c:pt>
                <c:pt idx="67">
                  <c:v>43071.615613425929</c:v>
                </c:pt>
                <c:pt idx="68">
                  <c:v>43071.615925925929</c:v>
                </c:pt>
                <c:pt idx="69">
                  <c:v>43071.616006944445</c:v>
                </c:pt>
                <c:pt idx="70">
                  <c:v>43071.616087962961</c:v>
                </c:pt>
                <c:pt idx="71">
                  <c:v>43071.618402777778</c:v>
                </c:pt>
                <c:pt idx="72">
                  <c:v>43071.618715277778</c:v>
                </c:pt>
                <c:pt idx="73">
                  <c:v>43071.618796296294</c:v>
                </c:pt>
                <c:pt idx="74">
                  <c:v>43071.618969907409</c:v>
                </c:pt>
                <c:pt idx="75">
                  <c:v>43071.621192129627</c:v>
                </c:pt>
                <c:pt idx="76">
                  <c:v>43071.621504629627</c:v>
                </c:pt>
                <c:pt idx="77">
                  <c:v>43071.621840277781</c:v>
                </c:pt>
                <c:pt idx="78">
                  <c:v>43071.623981481483</c:v>
                </c:pt>
                <c:pt idx="79">
                  <c:v>43071.624293981484</c:v>
                </c:pt>
                <c:pt idx="80">
                  <c:v>43071.624374999999</c:v>
                </c:pt>
                <c:pt idx="81">
                  <c:v>43071.624722222223</c:v>
                </c:pt>
                <c:pt idx="82">
                  <c:v>43071.627083333333</c:v>
                </c:pt>
                <c:pt idx="83">
                  <c:v>43071.627164351848</c:v>
                </c:pt>
                <c:pt idx="84">
                  <c:v>43071.627592592595</c:v>
                </c:pt>
                <c:pt idx="85">
                  <c:v>43071.629560185182</c:v>
                </c:pt>
                <c:pt idx="86">
                  <c:v>43071.629872685182</c:v>
                </c:pt>
                <c:pt idx="87">
                  <c:v>43071.629953703705</c:v>
                </c:pt>
                <c:pt idx="88">
                  <c:v>43071.630474537036</c:v>
                </c:pt>
                <c:pt idx="89">
                  <c:v>43071.632662037038</c:v>
                </c:pt>
                <c:pt idx="90">
                  <c:v>43071.632743055554</c:v>
                </c:pt>
                <c:pt idx="91">
                  <c:v>43071.633344907408</c:v>
                </c:pt>
                <c:pt idx="92">
                  <c:v>43071.635138888887</c:v>
                </c:pt>
                <c:pt idx="93">
                  <c:v>43071.635451388887</c:v>
                </c:pt>
                <c:pt idx="94">
                  <c:v>43071.63553240741</c:v>
                </c:pt>
                <c:pt idx="95">
                  <c:v>43071.63622685185</c:v>
                </c:pt>
                <c:pt idx="96">
                  <c:v>43071.638240740744</c:v>
                </c:pt>
                <c:pt idx="97">
                  <c:v>43071.638321759259</c:v>
                </c:pt>
                <c:pt idx="98">
                  <c:v>43071.639097222222</c:v>
                </c:pt>
                <c:pt idx="99">
                  <c:v>43071.641030092593</c:v>
                </c:pt>
                <c:pt idx="100">
                  <c:v>43071.641597222224</c:v>
                </c:pt>
                <c:pt idx="101">
                  <c:v>43071.641979166663</c:v>
                </c:pt>
                <c:pt idx="102">
                  <c:v>43071.642013888886</c:v>
                </c:pt>
                <c:pt idx="103">
                  <c:v>43071.643819444442</c:v>
                </c:pt>
                <c:pt idx="104">
                  <c:v>43071.643900462965</c:v>
                </c:pt>
                <c:pt idx="105">
                  <c:v>43071.644803240742</c:v>
                </c:pt>
                <c:pt idx="106">
                  <c:v>43071.646608796298</c:v>
                </c:pt>
                <c:pt idx="107">
                  <c:v>43071.646689814814</c:v>
                </c:pt>
                <c:pt idx="108">
                  <c:v>43071.647592592592</c:v>
                </c:pt>
                <c:pt idx="109">
                  <c:v>43071.647731481484</c:v>
                </c:pt>
                <c:pt idx="110">
                  <c:v>43071.649398148147</c:v>
                </c:pt>
                <c:pt idx="111">
                  <c:v>43071.64947916667</c:v>
                </c:pt>
                <c:pt idx="112">
                  <c:v>43071.650381944448</c:v>
                </c:pt>
                <c:pt idx="113">
                  <c:v>43071.650601851848</c:v>
                </c:pt>
                <c:pt idx="114">
                  <c:v>43071.652187500003</c:v>
                </c:pt>
                <c:pt idx="115">
                  <c:v>43071.652268518519</c:v>
                </c:pt>
                <c:pt idx="116">
                  <c:v>43071.653483796297</c:v>
                </c:pt>
                <c:pt idx="117">
                  <c:v>43071.654976851853</c:v>
                </c:pt>
                <c:pt idx="118">
                  <c:v>43071.655057870368</c:v>
                </c:pt>
                <c:pt idx="119">
                  <c:v>43071.655960648146</c:v>
                </c:pt>
                <c:pt idx="120">
                  <c:v>43071.656365740739</c:v>
                </c:pt>
                <c:pt idx="121">
                  <c:v>43071.657766203702</c:v>
                </c:pt>
                <c:pt idx="122">
                  <c:v>43071.658750000002</c:v>
                </c:pt>
                <c:pt idx="123">
                  <c:v>43071.659236111111</c:v>
                </c:pt>
                <c:pt idx="124">
                  <c:v>43071.660555555558</c:v>
                </c:pt>
              </c:numCache>
              <c:extLst xmlns:c15="http://schemas.microsoft.com/office/drawing/2012/chart"/>
            </c:numRef>
          </c:xVal>
          <c:yVal>
            <c:numRef>
              <c:f>data!$N$2:$N$9999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1.1000000000000001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1.1000000000000001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1.1000000000000001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1.1000000000000001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1.1000000000000001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1.1000000000000001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1.1000000000000001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1.1000000000000001</c:v>
                </c:pt>
                <c:pt idx="38">
                  <c:v>0</c:v>
                </c:pt>
                <c:pt idx="39">
                  <c:v>0</c:v>
                </c:pt>
                <c:pt idx="40">
                  <c:v>1.1000000000000001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1.1000000000000001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1.1000000000000001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1.1000000000000001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1.1000000000000001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1.7</c:v>
                </c:pt>
                <c:pt idx="67">
                  <c:v>0</c:v>
                </c:pt>
                <c:pt idx="68">
                  <c:v>1.1000000000000001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1.1000000000000001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1.1000000000000001</c:v>
                </c:pt>
                <c:pt idx="77">
                  <c:v>0</c:v>
                </c:pt>
                <c:pt idx="78">
                  <c:v>0</c:v>
                </c:pt>
                <c:pt idx="79">
                  <c:v>1.1000000000000001</c:v>
                </c:pt>
                <c:pt idx="80">
                  <c:v>0</c:v>
                </c:pt>
                <c:pt idx="81">
                  <c:v>0</c:v>
                </c:pt>
                <c:pt idx="82">
                  <c:v>1.1000000000000001</c:v>
                </c:pt>
                <c:pt idx="83">
                  <c:v>0</c:v>
                </c:pt>
                <c:pt idx="84">
                  <c:v>0</c:v>
                </c:pt>
                <c:pt idx="85">
                  <c:v>1.7</c:v>
                </c:pt>
                <c:pt idx="86">
                  <c:v>1.1000000000000001</c:v>
                </c:pt>
                <c:pt idx="87">
                  <c:v>0</c:v>
                </c:pt>
                <c:pt idx="88">
                  <c:v>0</c:v>
                </c:pt>
                <c:pt idx="89">
                  <c:v>1.1000000000000001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1.1000000000000001</c:v>
                </c:pt>
                <c:pt idx="94">
                  <c:v>0</c:v>
                </c:pt>
                <c:pt idx="95">
                  <c:v>0</c:v>
                </c:pt>
                <c:pt idx="96">
                  <c:v>1.1000000000000001</c:v>
                </c:pt>
                <c:pt idx="97">
                  <c:v>0</c:v>
                </c:pt>
                <c:pt idx="98">
                  <c:v>0</c:v>
                </c:pt>
                <c:pt idx="99">
                  <c:v>1.1000000000000001</c:v>
                </c:pt>
                <c:pt idx="100">
                  <c:v>1.1000000000000001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1.1000000000000001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1.1000000000000001</c:v>
                </c:pt>
                <c:pt idx="115">
                  <c:v>0</c:v>
                </c:pt>
                <c:pt idx="116">
                  <c:v>0</c:v>
                </c:pt>
                <c:pt idx="117">
                  <c:v>1.1000000000000001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1.1000000000000001</c:v>
                </c:pt>
                <c:pt idx="122">
                  <c:v>0</c:v>
                </c:pt>
                <c:pt idx="123">
                  <c:v>0</c:v>
                </c:pt>
                <c:pt idx="124">
                  <c:v>1.1000000000000001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46400"/>
        <c:axId val="-130265129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prevLon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2.5</c:v>
                      </c:pt>
                      <c:pt idx="1">
                        <c:v>20.2</c:v>
                      </c:pt>
                      <c:pt idx="2">
                        <c:v>1</c:v>
                      </c:pt>
                      <c:pt idx="3">
                        <c:v>1.1000000000000001</c:v>
                      </c:pt>
                      <c:pt idx="4">
                        <c:v>20.2</c:v>
                      </c:pt>
                      <c:pt idx="5">
                        <c:v>2.1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2.2000000000000002</c:v>
                      </c:pt>
                      <c:pt idx="9">
                        <c:v>20.2</c:v>
                      </c:pt>
                      <c:pt idx="10">
                        <c:v>2.5</c:v>
                      </c:pt>
                      <c:pt idx="11">
                        <c:v>1.5</c:v>
                      </c:pt>
                      <c:pt idx="12">
                        <c:v>1.4</c:v>
                      </c:pt>
                      <c:pt idx="13">
                        <c:v>2.2999999999999998</c:v>
                      </c:pt>
                      <c:pt idx="14">
                        <c:v>0</c:v>
                      </c:pt>
                      <c:pt idx="15">
                        <c:v>20.2</c:v>
                      </c:pt>
                      <c:pt idx="16">
                        <c:v>0.9</c:v>
                      </c:pt>
                      <c:pt idx="17">
                        <c:v>1</c:v>
                      </c:pt>
                      <c:pt idx="18">
                        <c:v>0.8</c:v>
                      </c:pt>
                      <c:pt idx="19">
                        <c:v>0.9</c:v>
                      </c:pt>
                      <c:pt idx="20">
                        <c:v>0.7</c:v>
                      </c:pt>
                      <c:pt idx="21">
                        <c:v>20.2</c:v>
                      </c:pt>
                      <c:pt idx="22">
                        <c:v>0.8</c:v>
                      </c:pt>
                      <c:pt idx="23">
                        <c:v>1.1000000000000001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20.2</c:v>
                      </c:pt>
                      <c:pt idx="27">
                        <c:v>0.9</c:v>
                      </c:pt>
                      <c:pt idx="28">
                        <c:v>0.8</c:v>
                      </c:pt>
                      <c:pt idx="29">
                        <c:v>1.3</c:v>
                      </c:pt>
                      <c:pt idx="30">
                        <c:v>0.9</c:v>
                      </c:pt>
                      <c:pt idx="31">
                        <c:v>20.2</c:v>
                      </c:pt>
                      <c:pt idx="32">
                        <c:v>0.7</c:v>
                      </c:pt>
                      <c:pt idx="33">
                        <c:v>0.8</c:v>
                      </c:pt>
                      <c:pt idx="34">
                        <c:v>0.8</c:v>
                      </c:pt>
                      <c:pt idx="35">
                        <c:v>0.7</c:v>
                      </c:pt>
                      <c:pt idx="36">
                        <c:v>20.2</c:v>
                      </c:pt>
                      <c:pt idx="37">
                        <c:v>0.8</c:v>
                      </c:pt>
                      <c:pt idx="38">
                        <c:v>0.9</c:v>
                      </c:pt>
                      <c:pt idx="39">
                        <c:v>20.2</c:v>
                      </c:pt>
                      <c:pt idx="40">
                        <c:v>0.8</c:v>
                      </c:pt>
                      <c:pt idx="41">
                        <c:v>0.9</c:v>
                      </c:pt>
                      <c:pt idx="42">
                        <c:v>0.8</c:v>
                      </c:pt>
                      <c:pt idx="43">
                        <c:v>1</c:v>
                      </c:pt>
                      <c:pt idx="44">
                        <c:v>0.7</c:v>
                      </c:pt>
                      <c:pt idx="45">
                        <c:v>20.2</c:v>
                      </c:pt>
                      <c:pt idx="46">
                        <c:v>0.8</c:v>
                      </c:pt>
                      <c:pt idx="47">
                        <c:v>0.9</c:v>
                      </c:pt>
                      <c:pt idx="48">
                        <c:v>0.6</c:v>
                      </c:pt>
                      <c:pt idx="49">
                        <c:v>0.7</c:v>
                      </c:pt>
                      <c:pt idx="50">
                        <c:v>20.2</c:v>
                      </c:pt>
                      <c:pt idx="51">
                        <c:v>0.6</c:v>
                      </c:pt>
                      <c:pt idx="52">
                        <c:v>0.8</c:v>
                      </c:pt>
                      <c:pt idx="53">
                        <c:v>0.9</c:v>
                      </c:pt>
                      <c:pt idx="54">
                        <c:v>0.7</c:v>
                      </c:pt>
                      <c:pt idx="55">
                        <c:v>0.7</c:v>
                      </c:pt>
                      <c:pt idx="56">
                        <c:v>20.2</c:v>
                      </c:pt>
                      <c:pt idx="57">
                        <c:v>1.6</c:v>
                      </c:pt>
                      <c:pt idx="58">
                        <c:v>0.9</c:v>
                      </c:pt>
                      <c:pt idx="59">
                        <c:v>1</c:v>
                      </c:pt>
                      <c:pt idx="60">
                        <c:v>0.8</c:v>
                      </c:pt>
                      <c:pt idx="61">
                        <c:v>0.6</c:v>
                      </c:pt>
                      <c:pt idx="62">
                        <c:v>1.1000000000000001</c:v>
                      </c:pt>
                      <c:pt idx="63">
                        <c:v>20.2</c:v>
                      </c:pt>
                      <c:pt idx="64">
                        <c:v>1.1000000000000001</c:v>
                      </c:pt>
                      <c:pt idx="65">
                        <c:v>0.8</c:v>
                      </c:pt>
                      <c:pt idx="66">
                        <c:v>0.9</c:v>
                      </c:pt>
                      <c:pt idx="67">
                        <c:v>0.8</c:v>
                      </c:pt>
                      <c:pt idx="68">
                        <c:v>1</c:v>
                      </c:pt>
                      <c:pt idx="69">
                        <c:v>1.1000000000000001</c:v>
                      </c:pt>
                      <c:pt idx="70">
                        <c:v>20.2</c:v>
                      </c:pt>
                      <c:pt idx="71">
                        <c:v>1.1000000000000001</c:v>
                      </c:pt>
                      <c:pt idx="72">
                        <c:v>1</c:v>
                      </c:pt>
                      <c:pt idx="73">
                        <c:v>0.9</c:v>
                      </c:pt>
                      <c:pt idx="74">
                        <c:v>20.2</c:v>
                      </c:pt>
                      <c:pt idx="75">
                        <c:v>0.9</c:v>
                      </c:pt>
                      <c:pt idx="76">
                        <c:v>0.9</c:v>
                      </c:pt>
                      <c:pt idx="77">
                        <c:v>20.2</c:v>
                      </c:pt>
                      <c:pt idx="78">
                        <c:v>0.7</c:v>
                      </c:pt>
                      <c:pt idx="79">
                        <c:v>1.5</c:v>
                      </c:pt>
                      <c:pt idx="80">
                        <c:v>1</c:v>
                      </c:pt>
                      <c:pt idx="81">
                        <c:v>20.2</c:v>
                      </c:pt>
                      <c:pt idx="82">
                        <c:v>1.4</c:v>
                      </c:pt>
                      <c:pt idx="83">
                        <c:v>2.2000000000000002</c:v>
                      </c:pt>
                      <c:pt idx="84">
                        <c:v>20.2</c:v>
                      </c:pt>
                      <c:pt idx="85">
                        <c:v>0.7</c:v>
                      </c:pt>
                      <c:pt idx="86">
                        <c:v>1.1000000000000001</c:v>
                      </c:pt>
                      <c:pt idx="87">
                        <c:v>1.5</c:v>
                      </c:pt>
                      <c:pt idx="88">
                        <c:v>20.2</c:v>
                      </c:pt>
                      <c:pt idx="89">
                        <c:v>1.6</c:v>
                      </c:pt>
                      <c:pt idx="90">
                        <c:v>2.2999999999999998</c:v>
                      </c:pt>
                      <c:pt idx="91">
                        <c:v>20.2</c:v>
                      </c:pt>
                      <c:pt idx="92">
                        <c:v>0.9</c:v>
                      </c:pt>
                      <c:pt idx="93">
                        <c:v>1.6</c:v>
                      </c:pt>
                      <c:pt idx="94">
                        <c:v>2.1</c:v>
                      </c:pt>
                      <c:pt idx="95">
                        <c:v>20.2</c:v>
                      </c:pt>
                      <c:pt idx="96">
                        <c:v>1.5</c:v>
                      </c:pt>
                      <c:pt idx="97">
                        <c:v>1.8</c:v>
                      </c:pt>
                      <c:pt idx="98">
                        <c:v>20.2</c:v>
                      </c:pt>
                      <c:pt idx="99">
                        <c:v>1.3</c:v>
                      </c:pt>
                      <c:pt idx="100">
                        <c:v>0.9</c:v>
                      </c:pt>
                      <c:pt idx="101">
                        <c:v>20.2</c:v>
                      </c:pt>
                      <c:pt idx="102">
                        <c:v>0.9</c:v>
                      </c:pt>
                      <c:pt idx="103">
                        <c:v>1.4</c:v>
                      </c:pt>
                      <c:pt idx="104">
                        <c:v>1.8</c:v>
                      </c:pt>
                      <c:pt idx="105">
                        <c:v>0.8</c:v>
                      </c:pt>
                      <c:pt idx="106">
                        <c:v>1.3</c:v>
                      </c:pt>
                      <c:pt idx="107">
                        <c:v>2.1</c:v>
                      </c:pt>
                      <c:pt idx="108">
                        <c:v>0.9</c:v>
                      </c:pt>
                      <c:pt idx="109">
                        <c:v>20.2</c:v>
                      </c:pt>
                      <c:pt idx="110">
                        <c:v>1.2</c:v>
                      </c:pt>
                      <c:pt idx="111">
                        <c:v>1.7</c:v>
                      </c:pt>
                      <c:pt idx="112">
                        <c:v>1.1000000000000001</c:v>
                      </c:pt>
                      <c:pt idx="113">
                        <c:v>20.2</c:v>
                      </c:pt>
                      <c:pt idx="114">
                        <c:v>1.3</c:v>
                      </c:pt>
                      <c:pt idx="115">
                        <c:v>1.7</c:v>
                      </c:pt>
                      <c:pt idx="116">
                        <c:v>20.2</c:v>
                      </c:pt>
                      <c:pt idx="117">
                        <c:v>1.2</c:v>
                      </c:pt>
                      <c:pt idx="118">
                        <c:v>1.7</c:v>
                      </c:pt>
                      <c:pt idx="119">
                        <c:v>0.8</c:v>
                      </c:pt>
                      <c:pt idx="120">
                        <c:v>20.2</c:v>
                      </c:pt>
                      <c:pt idx="121">
                        <c:v>1.3</c:v>
                      </c:pt>
                      <c:pt idx="122">
                        <c:v>0.8</c:v>
                      </c:pt>
                      <c:pt idx="123">
                        <c:v>20.2</c:v>
                      </c:pt>
                      <c:pt idx="124">
                        <c:v>1.2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prevHdop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 formatCode="General">
                        <c:v>52.638435521032498</c:v>
                      </c:pt>
                      <c:pt idx="1">
                        <c:v>-5.36441834242396E-6</c:v>
                      </c:pt>
                      <c:pt idx="2" formatCode="General">
                        <c:v>52.638392605685702</c:v>
                      </c:pt>
                      <c:pt idx="3" formatCode="General">
                        <c:v>52.638564267072901</c:v>
                      </c:pt>
                      <c:pt idx="4">
                        <c:v>-5.36441834242396E-6</c:v>
                      </c:pt>
                      <c:pt idx="5" formatCode="General">
                        <c:v>-90</c:v>
                      </c:pt>
                      <c:pt idx="6" formatCode="General">
                        <c:v>52.638456978705896</c:v>
                      </c:pt>
                      <c:pt idx="7" formatCode="General">
                        <c:v>52.638403334522401</c:v>
                      </c:pt>
                      <c:pt idx="8" formatCode="General">
                        <c:v>52.638371148012297</c:v>
                      </c:pt>
                      <c:pt idx="9">
                        <c:v>-5.36441834242396E-6</c:v>
                      </c:pt>
                      <c:pt idx="10" formatCode="General">
                        <c:v>52.638381876849003</c:v>
                      </c:pt>
                      <c:pt idx="11" formatCode="General">
                        <c:v>52.638403334522401</c:v>
                      </c:pt>
                      <c:pt idx="12" formatCode="General">
                        <c:v>52.638446249869197</c:v>
                      </c:pt>
                      <c:pt idx="13" formatCode="General">
                        <c:v>52.638435521032498</c:v>
                      </c:pt>
                      <c:pt idx="14" formatCode="General">
                        <c:v>52.638220944298503</c:v>
                      </c:pt>
                      <c:pt idx="15">
                        <c:v>-5.36441834242396E-6</c:v>
                      </c:pt>
                      <c:pt idx="16" formatCode="General">
                        <c:v>52.638231673135202</c:v>
                      </c:pt>
                      <c:pt idx="17" formatCode="General">
                        <c:v>52.638489165216001</c:v>
                      </c:pt>
                      <c:pt idx="18" formatCode="General">
                        <c:v>52.638381876849003</c:v>
                      </c:pt>
                      <c:pt idx="19" formatCode="General">
                        <c:v>52.637695231300299</c:v>
                      </c:pt>
                      <c:pt idx="20" formatCode="General">
                        <c:v>52.637308993179097</c:v>
                      </c:pt>
                      <c:pt idx="21">
                        <c:v>-5.36441834242396E-6</c:v>
                      </c:pt>
                      <c:pt idx="22" formatCode="General">
                        <c:v>52.638231673135202</c:v>
                      </c:pt>
                      <c:pt idx="23" formatCode="General">
                        <c:v>52.638424792195799</c:v>
                      </c:pt>
                      <c:pt idx="24" formatCode="General">
                        <c:v>52.636493601589997</c:v>
                      </c:pt>
                      <c:pt idx="25" formatCode="General">
                        <c:v>52.635785498367802</c:v>
                      </c:pt>
                      <c:pt idx="26">
                        <c:v>-5.36441834242396E-6</c:v>
                      </c:pt>
                      <c:pt idx="27" formatCode="General">
                        <c:v>52.635774769531103</c:v>
                      </c:pt>
                      <c:pt idx="28" formatCode="General">
                        <c:v>52.638167300115001</c:v>
                      </c:pt>
                      <c:pt idx="29" formatCode="General">
                        <c:v>52.635206141186103</c:v>
                      </c:pt>
                      <c:pt idx="30" formatCode="General">
                        <c:v>52.634079613332702</c:v>
                      </c:pt>
                      <c:pt idx="31">
                        <c:v>-5.36441834242396E-6</c:v>
                      </c:pt>
                      <c:pt idx="32" formatCode="General">
                        <c:v>52.633081831519704</c:v>
                      </c:pt>
                      <c:pt idx="33" formatCode="General">
                        <c:v>52.638231673135202</c:v>
                      </c:pt>
                      <c:pt idx="34" formatCode="General">
                        <c:v>52.638381876849003</c:v>
                      </c:pt>
                      <c:pt idx="35" formatCode="General">
                        <c:v>52.632330812950698</c:v>
                      </c:pt>
                      <c:pt idx="36">
                        <c:v>-5.36441834242396E-6</c:v>
                      </c:pt>
                      <c:pt idx="37" formatCode="General">
                        <c:v>52.638135113604903</c:v>
                      </c:pt>
                      <c:pt idx="38" formatCode="General">
                        <c:v>52.638113655931498</c:v>
                      </c:pt>
                      <c:pt idx="39">
                        <c:v>-5.36441834242396E-6</c:v>
                      </c:pt>
                      <c:pt idx="40" formatCode="General">
                        <c:v>52.638102927094799</c:v>
                      </c:pt>
                      <c:pt idx="41" formatCode="General">
                        <c:v>52.6380921982581</c:v>
                      </c:pt>
                      <c:pt idx="42" formatCode="General">
                        <c:v>52.629487671225498</c:v>
                      </c:pt>
                      <c:pt idx="43" formatCode="General">
                        <c:v>52.630260147467801</c:v>
                      </c:pt>
                      <c:pt idx="44" formatCode="General">
                        <c:v>52.631150640913802</c:v>
                      </c:pt>
                      <c:pt idx="45">
                        <c:v>-5.36441834242396E-6</c:v>
                      </c:pt>
                      <c:pt idx="46" formatCode="General">
                        <c:v>52.638306774992103</c:v>
                      </c:pt>
                      <c:pt idx="47" formatCode="General">
                        <c:v>52.638306774992103</c:v>
                      </c:pt>
                      <c:pt idx="48" formatCode="General">
                        <c:v>52.632030405523203</c:v>
                      </c:pt>
                      <c:pt idx="49" formatCode="General">
                        <c:v>52.6328779836224</c:v>
                      </c:pt>
                      <c:pt idx="50">
                        <c:v>-5.36441834242396E-6</c:v>
                      </c:pt>
                      <c:pt idx="51" formatCode="General">
                        <c:v>52.633339323600403</c:v>
                      </c:pt>
                      <c:pt idx="52" formatCode="General">
                        <c:v>52.638102927094799</c:v>
                      </c:pt>
                      <c:pt idx="53" formatCode="General">
                        <c:v>52.638349690338899</c:v>
                      </c:pt>
                      <c:pt idx="54" formatCode="General">
                        <c:v>52.634186901699699</c:v>
                      </c:pt>
                      <c:pt idx="55" formatCode="General">
                        <c:v>52.635088123982399</c:v>
                      </c:pt>
                      <c:pt idx="56">
                        <c:v>-5.36441834242396E-6</c:v>
                      </c:pt>
                      <c:pt idx="57" formatCode="General">
                        <c:v>52.638038554074598</c:v>
                      </c:pt>
                      <c:pt idx="58" formatCode="General">
                        <c:v>52.6381780289517</c:v>
                      </c:pt>
                      <c:pt idx="59" formatCode="General">
                        <c:v>52.636193194162402</c:v>
                      </c:pt>
                      <c:pt idx="60" formatCode="General">
                        <c:v>52.637180247138701</c:v>
                      </c:pt>
                      <c:pt idx="61" formatCode="General">
                        <c:v>52.637738146647102</c:v>
                      </c:pt>
                      <c:pt idx="62" formatCode="General">
                        <c:v>52.638242401971901</c:v>
                      </c:pt>
                      <c:pt idx="63">
                        <c:v>-5.36441834242396E-6</c:v>
                      </c:pt>
                      <c:pt idx="64" formatCode="General">
                        <c:v>52.638639368929802</c:v>
                      </c:pt>
                      <c:pt idx="65" formatCode="General">
                        <c:v>52.6384998940527</c:v>
                      </c:pt>
                      <c:pt idx="66" formatCode="General">
                        <c:v>52.638446249869197</c:v>
                      </c:pt>
                      <c:pt idx="67" formatCode="General">
                        <c:v>-90</c:v>
                      </c:pt>
                      <c:pt idx="68" formatCode="General">
                        <c:v>52.638263859645299</c:v>
                      </c:pt>
                      <c:pt idx="69" formatCode="General">
                        <c:v>52.6382531308086</c:v>
                      </c:pt>
                      <c:pt idx="70">
                        <c:v>-5.36441834242396E-6</c:v>
                      </c:pt>
                      <c:pt idx="71" formatCode="General">
                        <c:v>52.638220944298503</c:v>
                      </c:pt>
                      <c:pt idx="72" formatCode="General">
                        <c:v>52.638392605685702</c:v>
                      </c:pt>
                      <c:pt idx="73" formatCode="General">
                        <c:v>52.638360419175598</c:v>
                      </c:pt>
                      <c:pt idx="74">
                        <c:v>-5.36441834242396E-6</c:v>
                      </c:pt>
                      <c:pt idx="75" formatCode="General">
                        <c:v>52.638435521032498</c:v>
                      </c:pt>
                      <c:pt idx="76" formatCode="General">
                        <c:v>52.638360419175598</c:v>
                      </c:pt>
                      <c:pt idx="77">
                        <c:v>-5.36441834242396E-6</c:v>
                      </c:pt>
                      <c:pt idx="78" formatCode="General">
                        <c:v>52.638360419175598</c:v>
                      </c:pt>
                      <c:pt idx="79" formatCode="General">
                        <c:v>52.638424792195799</c:v>
                      </c:pt>
                      <c:pt idx="80" formatCode="General">
                        <c:v>52.638456978705896</c:v>
                      </c:pt>
                      <c:pt idx="81">
                        <c:v>-5.36441834242396E-6</c:v>
                      </c:pt>
                      <c:pt idx="82" formatCode="General">
                        <c:v>52.638446249869197</c:v>
                      </c:pt>
                      <c:pt idx="83" formatCode="General">
                        <c:v>52.638510622889399</c:v>
                      </c:pt>
                      <c:pt idx="84">
                        <c:v>-5.36441834242396E-6</c:v>
                      </c:pt>
                      <c:pt idx="85" formatCode="General">
                        <c:v>52.638156571278301</c:v>
                      </c:pt>
                      <c:pt idx="86" formatCode="General">
                        <c:v>52.638532080562797</c:v>
                      </c:pt>
                      <c:pt idx="87" formatCode="General">
                        <c:v>52.638403334522401</c:v>
                      </c:pt>
                      <c:pt idx="88">
                        <c:v>-5.36441834242396E-6</c:v>
                      </c:pt>
                      <c:pt idx="89" formatCode="General">
                        <c:v>52.638456978705896</c:v>
                      </c:pt>
                      <c:pt idx="90" formatCode="General">
                        <c:v>52.638242401971901</c:v>
                      </c:pt>
                      <c:pt idx="91">
                        <c:v>-5.36441834242396E-6</c:v>
                      </c:pt>
                      <c:pt idx="92" formatCode="General">
                        <c:v>52.638403334522401</c:v>
                      </c:pt>
                      <c:pt idx="93" formatCode="General">
                        <c:v>52.638403334522401</c:v>
                      </c:pt>
                      <c:pt idx="94" formatCode="General">
                        <c:v>52.638510622889399</c:v>
                      </c:pt>
                      <c:pt idx="95">
                        <c:v>-5.36441834242396E-6</c:v>
                      </c:pt>
                      <c:pt idx="96" formatCode="General">
                        <c:v>52.6384998940527</c:v>
                      </c:pt>
                      <c:pt idx="97" formatCode="General">
                        <c:v>52.638585724746299</c:v>
                      </c:pt>
                      <c:pt idx="98">
                        <c:v>-5.36441834242396E-6</c:v>
                      </c:pt>
                      <c:pt idx="99" formatCode="General">
                        <c:v>52.638371148012297</c:v>
                      </c:pt>
                      <c:pt idx="100" formatCode="General">
                        <c:v>-90</c:v>
                      </c:pt>
                      <c:pt idx="101">
                        <c:v>-5.36441834242396E-6</c:v>
                      </c:pt>
                      <c:pt idx="102" formatCode="General">
                        <c:v>-90</c:v>
                      </c:pt>
                      <c:pt idx="103" formatCode="General">
                        <c:v>52.638456978705896</c:v>
                      </c:pt>
                      <c:pt idx="104" formatCode="General">
                        <c:v>52.6386608266032</c:v>
                      </c:pt>
                      <c:pt idx="105" formatCode="General">
                        <c:v>52.638392605685702</c:v>
                      </c:pt>
                      <c:pt idx="106" formatCode="General">
                        <c:v>52.6384998940527</c:v>
                      </c:pt>
                      <c:pt idx="107" formatCode="General">
                        <c:v>52.638446249869197</c:v>
                      </c:pt>
                      <c:pt idx="108" formatCode="General">
                        <c:v>52.638424792195799</c:v>
                      </c:pt>
                      <c:pt idx="109">
                        <c:v>-5.36441834242396E-6</c:v>
                      </c:pt>
                      <c:pt idx="110" formatCode="General">
                        <c:v>52.638392605685702</c:v>
                      </c:pt>
                      <c:pt idx="111" formatCode="General">
                        <c:v>52.638070740584702</c:v>
                      </c:pt>
                      <c:pt idx="112" formatCode="General">
                        <c:v>52.638403334522401</c:v>
                      </c:pt>
                      <c:pt idx="113">
                        <c:v>-5.36441834242396E-6</c:v>
                      </c:pt>
                      <c:pt idx="114" formatCode="General">
                        <c:v>52.638456978705896</c:v>
                      </c:pt>
                      <c:pt idx="115" formatCode="General">
                        <c:v>52.638435521032498</c:v>
                      </c:pt>
                      <c:pt idx="116">
                        <c:v>-5.36441834242396E-6</c:v>
                      </c:pt>
                      <c:pt idx="117" formatCode="General">
                        <c:v>52.638456978705896</c:v>
                      </c:pt>
                      <c:pt idx="118" formatCode="General">
                        <c:v>52.638467707542603</c:v>
                      </c:pt>
                      <c:pt idx="119" formatCode="General">
                        <c:v>52.638328232665501</c:v>
                      </c:pt>
                      <c:pt idx="120">
                        <c:v>-5.36441834242396E-6</c:v>
                      </c:pt>
                      <c:pt idx="121" formatCode="General">
                        <c:v>52.638349690338899</c:v>
                      </c:pt>
                      <c:pt idx="122" formatCode="General">
                        <c:v>52.638403334522401</c:v>
                      </c:pt>
                      <c:pt idx="123">
                        <c:v>-5.36441834242396E-6</c:v>
                      </c:pt>
                      <c:pt idx="124" formatCode="General">
                        <c:v>52.638532080562797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 formatCode="General">
                        <c:v>4.7497311085302201</c:v>
                      </c:pt>
                      <c:pt idx="1">
                        <c:v>-1.07288366848479E-5</c:v>
                      </c:pt>
                      <c:pt idx="2" formatCode="General">
                        <c:v>4.7496238201632002</c:v>
                      </c:pt>
                      <c:pt idx="3" formatCode="General">
                        <c:v>4.7497525662035898</c:v>
                      </c:pt>
                      <c:pt idx="4">
                        <c:v>-1.07288366848479E-5</c:v>
                      </c:pt>
                      <c:pt idx="5" formatCode="General">
                        <c:v>4.7498169392238196</c:v>
                      </c:pt>
                      <c:pt idx="6" formatCode="General">
                        <c:v>4.7497740238770199</c:v>
                      </c:pt>
                      <c:pt idx="7" formatCode="General">
                        <c:v>4.7497525662035898</c:v>
                      </c:pt>
                      <c:pt idx="8" formatCode="General">
                        <c:v>4.7498598545706097</c:v>
                      </c:pt>
                      <c:pt idx="9">
                        <c:v>-1.07288366848479E-5</c:v>
                      </c:pt>
                      <c:pt idx="10" formatCode="General">
                        <c:v>4.7499671429375701</c:v>
                      </c:pt>
                      <c:pt idx="11" formatCode="General">
                        <c:v>4.7500100582843698</c:v>
                      </c:pt>
                      <c:pt idx="12" formatCode="General">
                        <c:v>4.7498813122439802</c:v>
                      </c:pt>
                      <c:pt idx="13" formatCode="General">
                        <c:v>4.7495809048164102</c:v>
                      </c:pt>
                      <c:pt idx="14" formatCode="General">
                        <c:v>4.7497740238770199</c:v>
                      </c:pt>
                      <c:pt idx="15">
                        <c:v>-1.07288366848479E-5</c:v>
                      </c:pt>
                      <c:pt idx="16" formatCode="General">
                        <c:v>4.7499671429375701</c:v>
                      </c:pt>
                      <c:pt idx="17" formatCode="General">
                        <c:v>4.7498169392238196</c:v>
                      </c:pt>
                      <c:pt idx="18" formatCode="General">
                        <c:v>4.7499671429375701</c:v>
                      </c:pt>
                      <c:pt idx="19" formatCode="General">
                        <c:v>4.7483149020859496</c:v>
                      </c:pt>
                      <c:pt idx="20" formatCode="General">
                        <c:v>4.7477140872307997</c:v>
                      </c:pt>
                      <c:pt idx="21">
                        <c:v>-1.07288366848479E-5</c:v>
                      </c:pt>
                      <c:pt idx="22" formatCode="General">
                        <c:v>4.7502675503651499</c:v>
                      </c:pt>
                      <c:pt idx="23" formatCode="General">
                        <c:v>4.7498598545706097</c:v>
                      </c:pt>
                      <c:pt idx="24" formatCode="General">
                        <c:v>4.7469630686618398</c:v>
                      </c:pt>
                      <c:pt idx="25" formatCode="General">
                        <c:v>4.7457614389515399</c:v>
                      </c:pt>
                      <c:pt idx="26">
                        <c:v>-1.07288366848479E-5</c:v>
                      </c:pt>
                      <c:pt idx="27" formatCode="General">
                        <c:v>4.7455683198909897</c:v>
                      </c:pt>
                      <c:pt idx="28" formatCode="General">
                        <c:v>4.7499671429375701</c:v>
                      </c:pt>
                      <c:pt idx="29" formatCode="General">
                        <c:v>4.7450318780560101</c:v>
                      </c:pt>
                      <c:pt idx="30" formatCode="General">
                        <c:v>4.7441735711200801</c:v>
                      </c:pt>
                      <c:pt idx="31">
                        <c:v>-1.07288366848479E-5</c:v>
                      </c:pt>
                      <c:pt idx="32" formatCode="General">
                        <c:v>4.7450962510762302</c:v>
                      </c:pt>
                      <c:pt idx="33" formatCode="General">
                        <c:v>4.7500958889779596</c:v>
                      </c:pt>
                      <c:pt idx="34" formatCode="General">
                        <c:v>4.7500529736311696</c:v>
                      </c:pt>
                      <c:pt idx="35" formatCode="General">
                        <c:v>4.7466197458874699</c:v>
                      </c:pt>
                      <c:pt idx="36">
                        <c:v>-1.07288366848479E-5</c:v>
                      </c:pt>
                      <c:pt idx="37" formatCode="General">
                        <c:v>4.7500315159577999</c:v>
                      </c:pt>
                      <c:pt idx="38" formatCode="General">
                        <c:v>4.7499671429375701</c:v>
                      </c:pt>
                      <c:pt idx="39">
                        <c:v>-1.07288366848479E-5</c:v>
                      </c:pt>
                      <c:pt idx="40" formatCode="General">
                        <c:v>4.7499456852642004</c:v>
                      </c:pt>
                      <c:pt idx="41" formatCode="General">
                        <c:v>4.7498813122439802</c:v>
                      </c:pt>
                      <c:pt idx="42" formatCode="General">
                        <c:v>4.7499456852642004</c:v>
                      </c:pt>
                      <c:pt idx="43" formatCode="General">
                        <c:v>4.7504606694257596</c:v>
                      </c:pt>
                      <c:pt idx="44" formatCode="General">
                        <c:v>4.7509971112606797</c:v>
                      </c:pt>
                      <c:pt idx="45">
                        <c:v>-1.07288366848479E-5</c:v>
                      </c:pt>
                      <c:pt idx="46" formatCode="General">
                        <c:v>4.7502031773449804</c:v>
                      </c:pt>
                      <c:pt idx="47" formatCode="General">
                        <c:v>4.7497740238770199</c:v>
                      </c:pt>
                      <c:pt idx="48" formatCode="General">
                        <c:v>4.7514048070552803</c:v>
                      </c:pt>
                      <c:pt idx="49" formatCode="General">
                        <c:v>4.7502246350183501</c:v>
                      </c:pt>
                      <c:pt idx="50">
                        <c:v>-1.07288366848479E-5</c:v>
                      </c:pt>
                      <c:pt idx="51" formatCode="General">
                        <c:v>4.7497525662035898</c:v>
                      </c:pt>
                      <c:pt idx="52" formatCode="General">
                        <c:v>4.7500958889779596</c:v>
                      </c:pt>
                      <c:pt idx="53" formatCode="General">
                        <c:v>4.7499671429375701</c:v>
                      </c:pt>
                      <c:pt idx="54" formatCode="General">
                        <c:v>4.7485080211464998</c:v>
                      </c:pt>
                      <c:pt idx="55" formatCode="General">
                        <c:v>4.7478642909445599</c:v>
                      </c:pt>
                      <c:pt idx="56">
                        <c:v>-1.07288366848479E-5</c:v>
                      </c:pt>
                      <c:pt idx="57" formatCode="General">
                        <c:v>4.7499027699174103</c:v>
                      </c:pt>
                      <c:pt idx="58" formatCode="General">
                        <c:v>4.7498383968971796</c:v>
                      </c:pt>
                      <c:pt idx="59" formatCode="General">
                        <c:v>4.7483578174327397</c:v>
                      </c:pt>
                      <c:pt idx="60" formatCode="General">
                        <c:v>4.7500315159577999</c:v>
                      </c:pt>
                      <c:pt idx="61" formatCode="General">
                        <c:v>4.7497740238770199</c:v>
                      </c:pt>
                      <c:pt idx="62" formatCode="General">
                        <c:v>4.7498598545706097</c:v>
                      </c:pt>
                      <c:pt idx="63">
                        <c:v>-1.07288366848479E-5</c:v>
                      </c:pt>
                      <c:pt idx="64" formatCode="General">
                        <c:v>4.7498383968971796</c:v>
                      </c:pt>
                      <c:pt idx="65" formatCode="General">
                        <c:v>4.7496881931834301</c:v>
                      </c:pt>
                      <c:pt idx="66" formatCode="General">
                        <c:v>4.7497096508567997</c:v>
                      </c:pt>
                      <c:pt idx="67" formatCode="General">
                        <c:v>4.7500100582843698</c:v>
                      </c:pt>
                      <c:pt idx="68" formatCode="General">
                        <c:v>4.7498169392238196</c:v>
                      </c:pt>
                      <c:pt idx="69" formatCode="General">
                        <c:v>4.7497525662035898</c:v>
                      </c:pt>
                      <c:pt idx="70">
                        <c:v>-1.07288366848479E-5</c:v>
                      </c:pt>
                      <c:pt idx="71" formatCode="General">
                        <c:v>4.7497096508567997</c:v>
                      </c:pt>
                      <c:pt idx="72" formatCode="General">
                        <c:v>4.7498383968971796</c:v>
                      </c:pt>
                      <c:pt idx="73" formatCode="General">
                        <c:v>4.7497311085302201</c:v>
                      </c:pt>
                      <c:pt idx="74">
                        <c:v>-1.07288366848479E-5</c:v>
                      </c:pt>
                      <c:pt idx="75" formatCode="General">
                        <c:v>4.7497954815503904</c:v>
                      </c:pt>
                      <c:pt idx="76" formatCode="General">
                        <c:v>4.7496238201632002</c:v>
                      </c:pt>
                      <c:pt idx="77">
                        <c:v>-1.07288366848479E-5</c:v>
                      </c:pt>
                      <c:pt idx="78" formatCode="General">
                        <c:v>4.7496881931834301</c:v>
                      </c:pt>
                      <c:pt idx="79" formatCode="General">
                        <c:v>4.7497096508567997</c:v>
                      </c:pt>
                      <c:pt idx="80" formatCode="General">
                        <c:v>4.7496238201632002</c:v>
                      </c:pt>
                      <c:pt idx="81">
                        <c:v>-1.07288366848479E-5</c:v>
                      </c:pt>
                      <c:pt idx="82" formatCode="General">
                        <c:v>4.74966673551</c:v>
                      </c:pt>
                      <c:pt idx="83" formatCode="General">
                        <c:v>4.7497740238770199</c:v>
                      </c:pt>
                      <c:pt idx="84">
                        <c:v>-1.07288366848479E-5</c:v>
                      </c:pt>
                      <c:pt idx="85" formatCode="General">
                        <c:v>4.7498598545706097</c:v>
                      </c:pt>
                      <c:pt idx="86" formatCode="General">
                        <c:v>4.7497311085302201</c:v>
                      </c:pt>
                      <c:pt idx="87" formatCode="General">
                        <c:v>4.74966673551</c:v>
                      </c:pt>
                      <c:pt idx="88">
                        <c:v>-1.07288366848479E-5</c:v>
                      </c:pt>
                      <c:pt idx="89" formatCode="General">
                        <c:v>4.7498169392238196</c:v>
                      </c:pt>
                      <c:pt idx="90" formatCode="General">
                        <c:v>4.7497954815503904</c:v>
                      </c:pt>
                      <c:pt idx="91">
                        <c:v>-1.07288366848479E-5</c:v>
                      </c:pt>
                      <c:pt idx="92" formatCode="General">
                        <c:v>4.7497525662035898</c:v>
                      </c:pt>
                      <c:pt idx="93" formatCode="General">
                        <c:v>4.7498598545706097</c:v>
                      </c:pt>
                      <c:pt idx="94" formatCode="General">
                        <c:v>4.7496881931834301</c:v>
                      </c:pt>
                      <c:pt idx="95">
                        <c:v>-1.07288366848479E-5</c:v>
                      </c:pt>
                      <c:pt idx="96" formatCode="General">
                        <c:v>4.7498813122439802</c:v>
                      </c:pt>
                      <c:pt idx="97" formatCode="General">
                        <c:v>4.7497311085302201</c:v>
                      </c:pt>
                      <c:pt idx="98">
                        <c:v>-1.07288366848479E-5</c:v>
                      </c:pt>
                      <c:pt idx="99" formatCode="General">
                        <c:v>4.7497740238770199</c:v>
                      </c:pt>
                      <c:pt idx="100" formatCode="General">
                        <c:v>4.7497096508567997</c:v>
                      </c:pt>
                      <c:pt idx="101">
                        <c:v>-1.07288366848479E-5</c:v>
                      </c:pt>
                      <c:pt idx="102" formatCode="General">
                        <c:v>4.7497096508567997</c:v>
                      </c:pt>
                      <c:pt idx="103" formatCode="General">
                        <c:v>4.7497096508567997</c:v>
                      </c:pt>
                      <c:pt idx="104" formatCode="General">
                        <c:v>4.7496881931834301</c:v>
                      </c:pt>
                      <c:pt idx="105" formatCode="General">
                        <c:v>4.7497096508567997</c:v>
                      </c:pt>
                      <c:pt idx="106" formatCode="General">
                        <c:v>4.7497525662035898</c:v>
                      </c:pt>
                      <c:pt idx="107" formatCode="General">
                        <c:v>4.7500100582843698</c:v>
                      </c:pt>
                      <c:pt idx="108" formatCode="General">
                        <c:v>4.7497096508567997</c:v>
                      </c:pt>
                      <c:pt idx="109">
                        <c:v>-1.07288366848479E-5</c:v>
                      </c:pt>
                      <c:pt idx="110" formatCode="General">
                        <c:v>4.74966673551</c:v>
                      </c:pt>
                      <c:pt idx="111" formatCode="General">
                        <c:v>4.7497311085302201</c:v>
                      </c:pt>
                      <c:pt idx="112" formatCode="General">
                        <c:v>4.7497525662035898</c:v>
                      </c:pt>
                      <c:pt idx="113">
                        <c:v>-1.07288366848479E-5</c:v>
                      </c:pt>
                      <c:pt idx="114" formatCode="General">
                        <c:v>4.7496238201632002</c:v>
                      </c:pt>
                      <c:pt idx="115" formatCode="General">
                        <c:v>4.7496881931834301</c:v>
                      </c:pt>
                      <c:pt idx="116">
                        <c:v>-1.07288366848479E-5</c:v>
                      </c:pt>
                      <c:pt idx="117" formatCode="General">
                        <c:v>4.7497525662035898</c:v>
                      </c:pt>
                      <c:pt idx="118" formatCode="General">
                        <c:v>4.7497096508567997</c:v>
                      </c:pt>
                      <c:pt idx="119" formatCode="General">
                        <c:v>4.7496881931834301</c:v>
                      </c:pt>
                      <c:pt idx="120">
                        <c:v>-1.07288366848479E-5</c:v>
                      </c:pt>
                      <c:pt idx="121" formatCode="General">
                        <c:v>4.74943070110265</c:v>
                      </c:pt>
                      <c:pt idx="122" formatCode="General">
                        <c:v>4.7497525662035898</c:v>
                      </c:pt>
                      <c:pt idx="123">
                        <c:v>-1.07288366848479E-5</c:v>
                      </c:pt>
                      <c:pt idx="124" formatCode="General">
                        <c:v>4.7496452778366303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 formatCode="General">
                        <c:v>52.638381876849003</c:v>
                      </c:pt>
                      <c:pt idx="1">
                        <c:v>-5.36441834242396E-6</c:v>
                      </c:pt>
                      <c:pt idx="2" formatCode="General">
                        <c:v>52.638456978705896</c:v>
                      </c:pt>
                      <c:pt idx="3" formatCode="General">
                        <c:v>52.638403334522401</c:v>
                      </c:pt>
                      <c:pt idx="4">
                        <c:v>-5.36441834242396E-6</c:v>
                      </c:pt>
                      <c:pt idx="5" formatCode="General">
                        <c:v>52.638371148012297</c:v>
                      </c:pt>
                      <c:pt idx="6" formatCode="General">
                        <c:v>52.638403334522401</c:v>
                      </c:pt>
                      <c:pt idx="7" formatCode="General">
                        <c:v>52.638446249869197</c:v>
                      </c:pt>
                      <c:pt idx="8" formatCode="General">
                        <c:v>52.638381876849003</c:v>
                      </c:pt>
                      <c:pt idx="9">
                        <c:v>-5.36441834242396E-6</c:v>
                      </c:pt>
                      <c:pt idx="10" formatCode="General">
                        <c:v>52.638435521032498</c:v>
                      </c:pt>
                      <c:pt idx="11" formatCode="General">
                        <c:v>52.638231673135202</c:v>
                      </c:pt>
                      <c:pt idx="12" formatCode="General">
                        <c:v>52.638489165216001</c:v>
                      </c:pt>
                      <c:pt idx="13" formatCode="General">
                        <c:v>52.638220944298503</c:v>
                      </c:pt>
                      <c:pt idx="14" formatCode="General">
                        <c:v>52.638381876849003</c:v>
                      </c:pt>
                      <c:pt idx="15">
                        <c:v>-5.36441834242396E-6</c:v>
                      </c:pt>
                      <c:pt idx="16" formatCode="General">
                        <c:v>52.638231673135202</c:v>
                      </c:pt>
                      <c:pt idx="17" formatCode="General">
                        <c:v>52.638424792195799</c:v>
                      </c:pt>
                      <c:pt idx="18" formatCode="General">
                        <c:v>52.637695231300299</c:v>
                      </c:pt>
                      <c:pt idx="19" formatCode="General">
                        <c:v>52.637308993179097</c:v>
                      </c:pt>
                      <c:pt idx="20" formatCode="General">
                        <c:v>52.636493601589997</c:v>
                      </c:pt>
                      <c:pt idx="21">
                        <c:v>-5.36441834242396E-6</c:v>
                      </c:pt>
                      <c:pt idx="22" formatCode="General">
                        <c:v>52.638167300115001</c:v>
                      </c:pt>
                      <c:pt idx="23" formatCode="General">
                        <c:v>52.638349690338899</c:v>
                      </c:pt>
                      <c:pt idx="24" formatCode="General">
                        <c:v>52.635785498367802</c:v>
                      </c:pt>
                      <c:pt idx="25" formatCode="General">
                        <c:v>52.635774769531103</c:v>
                      </c:pt>
                      <c:pt idx="26">
                        <c:v>-5.36441834242396E-6</c:v>
                      </c:pt>
                      <c:pt idx="27" formatCode="General">
                        <c:v>52.635206141186103</c:v>
                      </c:pt>
                      <c:pt idx="28" formatCode="General">
                        <c:v>52.638231673135202</c:v>
                      </c:pt>
                      <c:pt idx="29" formatCode="General">
                        <c:v>52.634079613332702</c:v>
                      </c:pt>
                      <c:pt idx="30" formatCode="General">
                        <c:v>52.633081831519704</c:v>
                      </c:pt>
                      <c:pt idx="31">
                        <c:v>-5.36441834242396E-6</c:v>
                      </c:pt>
                      <c:pt idx="32" formatCode="General">
                        <c:v>52.632330812950698</c:v>
                      </c:pt>
                      <c:pt idx="33" formatCode="General">
                        <c:v>52.638135113604903</c:v>
                      </c:pt>
                      <c:pt idx="34" formatCode="General">
                        <c:v>52.638113655931498</c:v>
                      </c:pt>
                      <c:pt idx="35" formatCode="General">
                        <c:v>52.631794371115802</c:v>
                      </c:pt>
                      <c:pt idx="36">
                        <c:v>-5.36441834242396E-6</c:v>
                      </c:pt>
                      <c:pt idx="37" formatCode="General">
                        <c:v>52.638102927094799</c:v>
                      </c:pt>
                      <c:pt idx="38" formatCode="General">
                        <c:v>52.6380921982581</c:v>
                      </c:pt>
                      <c:pt idx="39">
                        <c:v>-5.36441834242396E-6</c:v>
                      </c:pt>
                      <c:pt idx="40" formatCode="General">
                        <c:v>52.638306774992103</c:v>
                      </c:pt>
                      <c:pt idx="41" formatCode="General">
                        <c:v>52.638306774992103</c:v>
                      </c:pt>
                      <c:pt idx="42" formatCode="General">
                        <c:v>52.630260147467801</c:v>
                      </c:pt>
                      <c:pt idx="43" formatCode="General">
                        <c:v>52.631150640913802</c:v>
                      </c:pt>
                      <c:pt idx="44" formatCode="General">
                        <c:v>52.632030405523203</c:v>
                      </c:pt>
                      <c:pt idx="45">
                        <c:v>-5.36441834242396E-6</c:v>
                      </c:pt>
                      <c:pt idx="46" formatCode="General">
                        <c:v>52.638102927094799</c:v>
                      </c:pt>
                      <c:pt idx="47" formatCode="General">
                        <c:v>52.638349690338899</c:v>
                      </c:pt>
                      <c:pt idx="48" formatCode="General">
                        <c:v>52.6328779836224</c:v>
                      </c:pt>
                      <c:pt idx="49" formatCode="General">
                        <c:v>52.633339323600403</c:v>
                      </c:pt>
                      <c:pt idx="50">
                        <c:v>-5.36441834242396E-6</c:v>
                      </c:pt>
                      <c:pt idx="51" formatCode="General">
                        <c:v>52.634186901699699</c:v>
                      </c:pt>
                      <c:pt idx="52" formatCode="General">
                        <c:v>52.638038554074598</c:v>
                      </c:pt>
                      <c:pt idx="53" formatCode="General">
                        <c:v>52.6381780289517</c:v>
                      </c:pt>
                      <c:pt idx="54" formatCode="General">
                        <c:v>52.635088123982399</c:v>
                      </c:pt>
                      <c:pt idx="55" formatCode="General">
                        <c:v>52.636193194162402</c:v>
                      </c:pt>
                      <c:pt idx="56">
                        <c:v>-5.36441834242396E-6</c:v>
                      </c:pt>
                      <c:pt idx="57" formatCode="General">
                        <c:v>52.638242401971901</c:v>
                      </c:pt>
                      <c:pt idx="58" formatCode="General">
                        <c:v>52.638639368929802</c:v>
                      </c:pt>
                      <c:pt idx="59" formatCode="General">
                        <c:v>52.637180247138701</c:v>
                      </c:pt>
                      <c:pt idx="60" formatCode="General">
                        <c:v>52.637738146647102</c:v>
                      </c:pt>
                      <c:pt idx="61" formatCode="General">
                        <c:v>52.638424792195799</c:v>
                      </c:pt>
                      <c:pt idx="62" formatCode="General">
                        <c:v>52.638263859645299</c:v>
                      </c:pt>
                      <c:pt idx="63">
                        <c:v>-5.36441834242396E-6</c:v>
                      </c:pt>
                      <c:pt idx="64" formatCode="General">
                        <c:v>52.6382531308086</c:v>
                      </c:pt>
                      <c:pt idx="65" formatCode="General">
                        <c:v>52.638446249869197</c:v>
                      </c:pt>
                      <c:pt idx="66" formatCode="General">
                        <c:v>52.638446249869197</c:v>
                      </c:pt>
                      <c:pt idx="67" formatCode="General">
                        <c:v>52.638220944298503</c:v>
                      </c:pt>
                      <c:pt idx="68" formatCode="General">
                        <c:v>52.638392605685702</c:v>
                      </c:pt>
                      <c:pt idx="69" formatCode="General">
                        <c:v>52.638360419175598</c:v>
                      </c:pt>
                      <c:pt idx="70">
                        <c:v>-5.36441834242396E-6</c:v>
                      </c:pt>
                      <c:pt idx="71" formatCode="General">
                        <c:v>52.638435521032498</c:v>
                      </c:pt>
                      <c:pt idx="72" formatCode="General">
                        <c:v>52.638360419175598</c:v>
                      </c:pt>
                      <c:pt idx="73" formatCode="General">
                        <c:v>52.638489165216001</c:v>
                      </c:pt>
                      <c:pt idx="74">
                        <c:v>-5.36441834242396E-6</c:v>
                      </c:pt>
                      <c:pt idx="75" formatCode="General">
                        <c:v>52.638360419175598</c:v>
                      </c:pt>
                      <c:pt idx="76" formatCode="General">
                        <c:v>52.638424792195799</c:v>
                      </c:pt>
                      <c:pt idx="77">
                        <c:v>-5.36441834242396E-6</c:v>
                      </c:pt>
                      <c:pt idx="78" formatCode="General">
                        <c:v>52.638167300115001</c:v>
                      </c:pt>
                      <c:pt idx="79" formatCode="General">
                        <c:v>52.638446249869197</c:v>
                      </c:pt>
                      <c:pt idx="80" formatCode="General">
                        <c:v>52.638510622889399</c:v>
                      </c:pt>
                      <c:pt idx="81">
                        <c:v>-5.36441834242396E-6</c:v>
                      </c:pt>
                      <c:pt idx="82" formatCode="General">
                        <c:v>52.638532080562797</c:v>
                      </c:pt>
                      <c:pt idx="83" formatCode="General">
                        <c:v>52.638403334522401</c:v>
                      </c:pt>
                      <c:pt idx="84">
                        <c:v>-5.36441834242396E-6</c:v>
                      </c:pt>
                      <c:pt idx="85" formatCode="General">
                        <c:v>52.638199486625098</c:v>
                      </c:pt>
                      <c:pt idx="86" formatCode="General">
                        <c:v>52.638456978705896</c:v>
                      </c:pt>
                      <c:pt idx="87" formatCode="General">
                        <c:v>52.638242401971901</c:v>
                      </c:pt>
                      <c:pt idx="88">
                        <c:v>-5.36441834242396E-6</c:v>
                      </c:pt>
                      <c:pt idx="89" formatCode="General">
                        <c:v>52.638403334522401</c:v>
                      </c:pt>
                      <c:pt idx="90" formatCode="General">
                        <c:v>52.638510622889399</c:v>
                      </c:pt>
                      <c:pt idx="91">
                        <c:v>-5.36441834242396E-6</c:v>
                      </c:pt>
                      <c:pt idx="92" formatCode="General">
                        <c:v>52.638489165216001</c:v>
                      </c:pt>
                      <c:pt idx="93" formatCode="General">
                        <c:v>52.6384998940527</c:v>
                      </c:pt>
                      <c:pt idx="94" formatCode="General">
                        <c:v>52.638585724746299</c:v>
                      </c:pt>
                      <c:pt idx="95">
                        <c:v>-5.36441834242396E-6</c:v>
                      </c:pt>
                      <c:pt idx="96" formatCode="General">
                        <c:v>52.638371148012297</c:v>
                      </c:pt>
                      <c:pt idx="97" formatCode="General">
                        <c:v>52.6384998940527</c:v>
                      </c:pt>
                      <c:pt idx="98">
                        <c:v>-5.36441834242396E-6</c:v>
                      </c:pt>
                      <c:pt idx="99" formatCode="General">
                        <c:v>52.638456978705896</c:v>
                      </c:pt>
                      <c:pt idx="100" formatCode="General">
                        <c:v>52.638371148012297</c:v>
                      </c:pt>
                      <c:pt idx="101">
                        <c:v>-5.36441834242396E-6</c:v>
                      </c:pt>
                      <c:pt idx="102" formatCode="General">
                        <c:v>52.638392605685702</c:v>
                      </c:pt>
                      <c:pt idx="103" formatCode="General">
                        <c:v>52.6384998940527</c:v>
                      </c:pt>
                      <c:pt idx="104" formatCode="General">
                        <c:v>52.638446249869197</c:v>
                      </c:pt>
                      <c:pt idx="105" formatCode="General">
                        <c:v>52.638424792195799</c:v>
                      </c:pt>
                      <c:pt idx="106" formatCode="General">
                        <c:v>52.638392605685702</c:v>
                      </c:pt>
                      <c:pt idx="107" formatCode="General">
                        <c:v>52.638070740584702</c:v>
                      </c:pt>
                      <c:pt idx="108" formatCode="General">
                        <c:v>52.638403334522401</c:v>
                      </c:pt>
                      <c:pt idx="109">
                        <c:v>-5.36441834242396E-6</c:v>
                      </c:pt>
                      <c:pt idx="110" formatCode="General">
                        <c:v>52.638456978705896</c:v>
                      </c:pt>
                      <c:pt idx="111" formatCode="General">
                        <c:v>52.638435521032498</c:v>
                      </c:pt>
                      <c:pt idx="112" formatCode="General">
                        <c:v>52.638381876849003</c:v>
                      </c:pt>
                      <c:pt idx="113">
                        <c:v>-5.36441834242396E-6</c:v>
                      </c:pt>
                      <c:pt idx="114" formatCode="General">
                        <c:v>52.638456978705896</c:v>
                      </c:pt>
                      <c:pt idx="115" formatCode="General">
                        <c:v>52.638467707542603</c:v>
                      </c:pt>
                      <c:pt idx="116">
                        <c:v>-5.36441834242396E-6</c:v>
                      </c:pt>
                      <c:pt idx="117" formatCode="General">
                        <c:v>52.638349690338899</c:v>
                      </c:pt>
                      <c:pt idx="118" formatCode="General">
                        <c:v>52.638403334522401</c:v>
                      </c:pt>
                      <c:pt idx="119" formatCode="General">
                        <c:v>52.638403334522401</c:v>
                      </c:pt>
                      <c:pt idx="120">
                        <c:v>-5.36441834242396E-6</c:v>
                      </c:pt>
                      <c:pt idx="121" formatCode="General">
                        <c:v>52.638532080562797</c:v>
                      </c:pt>
                      <c:pt idx="122" formatCode="General">
                        <c:v>52.638371148012297</c:v>
                      </c:pt>
                      <c:pt idx="123">
                        <c:v>-5.36441834242396E-6</c:v>
                      </c:pt>
                      <c:pt idx="124" formatCode="General">
                        <c:v>52.638435521032498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7</c:v>
                      </c:pt>
                      <c:pt idx="1">
                        <c:v>678</c:v>
                      </c:pt>
                      <c:pt idx="2">
                        <c:v>1</c:v>
                      </c:pt>
                      <c:pt idx="3">
                        <c:v>3</c:v>
                      </c:pt>
                      <c:pt idx="4">
                        <c:v>678</c:v>
                      </c:pt>
                      <c:pt idx="5">
                        <c:v>10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11</c:v>
                      </c:pt>
                      <c:pt idx="9">
                        <c:v>678</c:v>
                      </c:pt>
                      <c:pt idx="10">
                        <c:v>0</c:v>
                      </c:pt>
                      <c:pt idx="11">
                        <c:v>1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678</c:v>
                      </c:pt>
                      <c:pt idx="16">
                        <c:v>7</c:v>
                      </c:pt>
                      <c:pt idx="17">
                        <c:v>6</c:v>
                      </c:pt>
                      <c:pt idx="18">
                        <c:v>6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678</c:v>
                      </c:pt>
                      <c:pt idx="22">
                        <c:v>29</c:v>
                      </c:pt>
                      <c:pt idx="23">
                        <c:v>14</c:v>
                      </c:pt>
                      <c:pt idx="24">
                        <c:v>0</c:v>
                      </c:pt>
                      <c:pt idx="25">
                        <c:v>5</c:v>
                      </c:pt>
                      <c:pt idx="26">
                        <c:v>678</c:v>
                      </c:pt>
                      <c:pt idx="27">
                        <c:v>0</c:v>
                      </c:pt>
                      <c:pt idx="28">
                        <c:v>16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678</c:v>
                      </c:pt>
                      <c:pt idx="32">
                        <c:v>16</c:v>
                      </c:pt>
                      <c:pt idx="33">
                        <c:v>54</c:v>
                      </c:pt>
                      <c:pt idx="34">
                        <c:v>41</c:v>
                      </c:pt>
                      <c:pt idx="35">
                        <c:v>19</c:v>
                      </c:pt>
                      <c:pt idx="36">
                        <c:v>678</c:v>
                      </c:pt>
                      <c:pt idx="37">
                        <c:v>32</c:v>
                      </c:pt>
                      <c:pt idx="38">
                        <c:v>25</c:v>
                      </c:pt>
                      <c:pt idx="39">
                        <c:v>678</c:v>
                      </c:pt>
                      <c:pt idx="40">
                        <c:v>15</c:v>
                      </c:pt>
                      <c:pt idx="41">
                        <c:v>25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678</c:v>
                      </c:pt>
                      <c:pt idx="46">
                        <c:v>24</c:v>
                      </c:pt>
                      <c:pt idx="47">
                        <c:v>23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678</c:v>
                      </c:pt>
                      <c:pt idx="51">
                        <c:v>0</c:v>
                      </c:pt>
                      <c:pt idx="52">
                        <c:v>18</c:v>
                      </c:pt>
                      <c:pt idx="53">
                        <c:v>46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678</c:v>
                      </c:pt>
                      <c:pt idx="57">
                        <c:v>18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1</c:v>
                      </c:pt>
                      <c:pt idx="61">
                        <c:v>0</c:v>
                      </c:pt>
                      <c:pt idx="62">
                        <c:v>6</c:v>
                      </c:pt>
                      <c:pt idx="63">
                        <c:v>678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5</c:v>
                      </c:pt>
                      <c:pt idx="68">
                        <c:v>0</c:v>
                      </c:pt>
                      <c:pt idx="69">
                        <c:v>11</c:v>
                      </c:pt>
                      <c:pt idx="70">
                        <c:v>678</c:v>
                      </c:pt>
                      <c:pt idx="71">
                        <c:v>0</c:v>
                      </c:pt>
                      <c:pt idx="72">
                        <c:v>6</c:v>
                      </c:pt>
                      <c:pt idx="73">
                        <c:v>0</c:v>
                      </c:pt>
                      <c:pt idx="74">
                        <c:v>678</c:v>
                      </c:pt>
                      <c:pt idx="75">
                        <c:v>0</c:v>
                      </c:pt>
                      <c:pt idx="76">
                        <c:v>2</c:v>
                      </c:pt>
                      <c:pt idx="77">
                        <c:v>678</c:v>
                      </c:pt>
                      <c:pt idx="78">
                        <c:v>22</c:v>
                      </c:pt>
                      <c:pt idx="79">
                        <c:v>18</c:v>
                      </c:pt>
                      <c:pt idx="80">
                        <c:v>0</c:v>
                      </c:pt>
                      <c:pt idx="81">
                        <c:v>678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678</c:v>
                      </c:pt>
                      <c:pt idx="85">
                        <c:v>24</c:v>
                      </c:pt>
                      <c:pt idx="86">
                        <c:v>0</c:v>
                      </c:pt>
                      <c:pt idx="87">
                        <c:v>38</c:v>
                      </c:pt>
                      <c:pt idx="88">
                        <c:v>678</c:v>
                      </c:pt>
                      <c:pt idx="89">
                        <c:v>1</c:v>
                      </c:pt>
                      <c:pt idx="90">
                        <c:v>0</c:v>
                      </c:pt>
                      <c:pt idx="91">
                        <c:v>678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678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678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678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3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41</c:v>
                      </c:pt>
                      <c:pt idx="108">
                        <c:v>4</c:v>
                      </c:pt>
                      <c:pt idx="109">
                        <c:v>678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678</c:v>
                      </c:pt>
                      <c:pt idx="114">
                        <c:v>7</c:v>
                      </c:pt>
                      <c:pt idx="115">
                        <c:v>0</c:v>
                      </c:pt>
                      <c:pt idx="116">
                        <c:v>678</c:v>
                      </c:pt>
                      <c:pt idx="117">
                        <c:v>4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678</c:v>
                      </c:pt>
                      <c:pt idx="121">
                        <c:v>17</c:v>
                      </c:pt>
                      <c:pt idx="122">
                        <c:v>0</c:v>
                      </c:pt>
                      <c:pt idx="123">
                        <c:v>678</c:v>
                      </c:pt>
                      <c:pt idx="124">
                        <c:v>0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3"/>
          <c:tx>
            <c:strRef>
              <c:f>data!$P$1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43071.578194444446</c:v>
                </c:pt>
                <c:pt idx="1">
                  <c:v>43071.578692129631</c:v>
                </c:pt>
                <c:pt idx="2">
                  <c:v>43071.579664351855</c:v>
                </c:pt>
                <c:pt idx="3">
                  <c:v>43071.579745370371</c:v>
                </c:pt>
                <c:pt idx="4">
                  <c:v>43071.581574074073</c:v>
                </c:pt>
                <c:pt idx="5">
                  <c:v>43071.581793981481</c:v>
                </c:pt>
                <c:pt idx="6">
                  <c:v>43071.582453703704</c:v>
                </c:pt>
                <c:pt idx="7">
                  <c:v>43071.58253472222</c:v>
                </c:pt>
                <c:pt idx="8">
                  <c:v>43071.583055555559</c:v>
                </c:pt>
                <c:pt idx="9">
                  <c:v>43071.584456018521</c:v>
                </c:pt>
                <c:pt idx="10">
                  <c:v>43071.585081018522</c:v>
                </c:pt>
                <c:pt idx="11">
                  <c:v>43071.585243055553</c:v>
                </c:pt>
                <c:pt idx="12">
                  <c:v>43071.585324074076</c:v>
                </c:pt>
                <c:pt idx="13">
                  <c:v>43071.586099537039</c:v>
                </c:pt>
                <c:pt idx="14">
                  <c:v>43071.587118055555</c:v>
                </c:pt>
                <c:pt idx="15">
                  <c:v>43071.587326388886</c:v>
                </c:pt>
                <c:pt idx="16">
                  <c:v>43071.58803240741</c:v>
                </c:pt>
                <c:pt idx="17">
                  <c:v>43071.588113425925</c:v>
                </c:pt>
                <c:pt idx="18">
                  <c:v>43071.588136574072</c:v>
                </c:pt>
                <c:pt idx="19">
                  <c:v>43071.589166666665</c:v>
                </c:pt>
                <c:pt idx="20">
                  <c:v>43071.590196759258</c:v>
                </c:pt>
                <c:pt idx="21">
                  <c:v>43071.590208333335</c:v>
                </c:pt>
                <c:pt idx="22">
                  <c:v>43071.590821759259</c:v>
                </c:pt>
                <c:pt idx="23">
                  <c:v>43071.590902777774</c:v>
                </c:pt>
                <c:pt idx="24">
                  <c:v>43071.591226851851</c:v>
                </c:pt>
                <c:pt idx="25">
                  <c:v>43071.592256944445</c:v>
                </c:pt>
                <c:pt idx="26">
                  <c:v>43071.593078703707</c:v>
                </c:pt>
                <c:pt idx="27">
                  <c:v>43071.593275462961</c:v>
                </c:pt>
                <c:pt idx="28">
                  <c:v>43071.593611111108</c:v>
                </c:pt>
                <c:pt idx="29">
                  <c:v>43071.594305555554</c:v>
                </c:pt>
                <c:pt idx="30">
                  <c:v>43071.595335648148</c:v>
                </c:pt>
                <c:pt idx="31">
                  <c:v>43071.595960648148</c:v>
                </c:pt>
                <c:pt idx="32">
                  <c:v>43071.596354166664</c:v>
                </c:pt>
                <c:pt idx="33">
                  <c:v>43071.596400462964</c:v>
                </c:pt>
                <c:pt idx="34">
                  <c:v>43071.59648148148</c:v>
                </c:pt>
                <c:pt idx="35">
                  <c:v>43071.597372685188</c:v>
                </c:pt>
                <c:pt idx="36">
                  <c:v>43071.59883101852</c:v>
                </c:pt>
                <c:pt idx="37">
                  <c:v>43071.599189814813</c:v>
                </c:pt>
                <c:pt idx="38">
                  <c:v>43071.599270833336</c:v>
                </c:pt>
                <c:pt idx="39">
                  <c:v>43071.601712962962</c:v>
                </c:pt>
                <c:pt idx="40">
                  <c:v>43071.601979166669</c:v>
                </c:pt>
                <c:pt idx="41">
                  <c:v>43071.602060185185</c:v>
                </c:pt>
                <c:pt idx="42">
                  <c:v>43071.602442129632</c:v>
                </c:pt>
                <c:pt idx="43">
                  <c:v>43071.603460648148</c:v>
                </c:pt>
                <c:pt idx="44">
                  <c:v>43071.604490740741</c:v>
                </c:pt>
                <c:pt idx="45">
                  <c:v>43071.604583333334</c:v>
                </c:pt>
                <c:pt idx="46">
                  <c:v>43071.604768518519</c:v>
                </c:pt>
                <c:pt idx="47">
                  <c:v>43071.604849537034</c:v>
                </c:pt>
                <c:pt idx="48">
                  <c:v>43071.605509259258</c:v>
                </c:pt>
                <c:pt idx="49">
                  <c:v>43071.606527777774</c:v>
                </c:pt>
                <c:pt idx="50">
                  <c:v>43071.607465277775</c:v>
                </c:pt>
                <c:pt idx="51">
                  <c:v>43071.607557870368</c:v>
                </c:pt>
                <c:pt idx="52">
                  <c:v>43071.607557870368</c:v>
                </c:pt>
                <c:pt idx="53">
                  <c:v>43071.607638888891</c:v>
                </c:pt>
                <c:pt idx="54">
                  <c:v>43071.608564814815</c:v>
                </c:pt>
                <c:pt idx="55">
                  <c:v>43071.609583333331</c:v>
                </c:pt>
                <c:pt idx="56">
                  <c:v>43071.610335648147</c:v>
                </c:pt>
                <c:pt idx="57">
                  <c:v>43071.610347222224</c:v>
                </c:pt>
                <c:pt idx="58">
                  <c:v>43071.61042824074</c:v>
                </c:pt>
                <c:pt idx="59">
                  <c:v>43071.610601851855</c:v>
                </c:pt>
                <c:pt idx="60">
                  <c:v>43071.611620370371</c:v>
                </c:pt>
                <c:pt idx="61">
                  <c:v>43071.612650462965</c:v>
                </c:pt>
                <c:pt idx="62">
                  <c:v>43071.613136574073</c:v>
                </c:pt>
                <c:pt idx="63">
                  <c:v>43071.613217592596</c:v>
                </c:pt>
                <c:pt idx="64">
                  <c:v>43071.613217592596</c:v>
                </c:pt>
                <c:pt idx="65">
                  <c:v>43071.614675925928</c:v>
                </c:pt>
                <c:pt idx="66">
                  <c:v>43071.615127314813</c:v>
                </c:pt>
                <c:pt idx="67">
                  <c:v>43071.615613425929</c:v>
                </c:pt>
                <c:pt idx="68">
                  <c:v>43071.615925925929</c:v>
                </c:pt>
                <c:pt idx="69">
                  <c:v>43071.616006944445</c:v>
                </c:pt>
                <c:pt idx="70">
                  <c:v>43071.616087962961</c:v>
                </c:pt>
                <c:pt idx="71">
                  <c:v>43071.618402777778</c:v>
                </c:pt>
                <c:pt idx="72">
                  <c:v>43071.618715277778</c:v>
                </c:pt>
                <c:pt idx="73">
                  <c:v>43071.618796296294</c:v>
                </c:pt>
                <c:pt idx="74">
                  <c:v>43071.618969907409</c:v>
                </c:pt>
                <c:pt idx="75">
                  <c:v>43071.621192129627</c:v>
                </c:pt>
                <c:pt idx="76">
                  <c:v>43071.621504629627</c:v>
                </c:pt>
                <c:pt idx="77">
                  <c:v>43071.621840277781</c:v>
                </c:pt>
                <c:pt idx="78">
                  <c:v>43071.623981481483</c:v>
                </c:pt>
                <c:pt idx="79">
                  <c:v>43071.624293981484</c:v>
                </c:pt>
                <c:pt idx="80">
                  <c:v>43071.624374999999</c:v>
                </c:pt>
                <c:pt idx="81">
                  <c:v>43071.624722222223</c:v>
                </c:pt>
                <c:pt idx="82">
                  <c:v>43071.627083333333</c:v>
                </c:pt>
                <c:pt idx="83">
                  <c:v>43071.627164351848</c:v>
                </c:pt>
                <c:pt idx="84">
                  <c:v>43071.627592592595</c:v>
                </c:pt>
                <c:pt idx="85">
                  <c:v>43071.629560185182</c:v>
                </c:pt>
                <c:pt idx="86">
                  <c:v>43071.629872685182</c:v>
                </c:pt>
                <c:pt idx="87">
                  <c:v>43071.629953703705</c:v>
                </c:pt>
                <c:pt idx="88">
                  <c:v>43071.630474537036</c:v>
                </c:pt>
                <c:pt idx="89">
                  <c:v>43071.632662037038</c:v>
                </c:pt>
                <c:pt idx="90">
                  <c:v>43071.632743055554</c:v>
                </c:pt>
                <c:pt idx="91">
                  <c:v>43071.633344907408</c:v>
                </c:pt>
                <c:pt idx="92">
                  <c:v>43071.635138888887</c:v>
                </c:pt>
                <c:pt idx="93">
                  <c:v>43071.635451388887</c:v>
                </c:pt>
                <c:pt idx="94">
                  <c:v>43071.63553240741</c:v>
                </c:pt>
                <c:pt idx="95">
                  <c:v>43071.63622685185</c:v>
                </c:pt>
                <c:pt idx="96">
                  <c:v>43071.638240740744</c:v>
                </c:pt>
                <c:pt idx="97">
                  <c:v>43071.638321759259</c:v>
                </c:pt>
                <c:pt idx="98">
                  <c:v>43071.639097222222</c:v>
                </c:pt>
                <c:pt idx="99">
                  <c:v>43071.641030092593</c:v>
                </c:pt>
                <c:pt idx="100">
                  <c:v>43071.641597222224</c:v>
                </c:pt>
                <c:pt idx="101">
                  <c:v>43071.641979166663</c:v>
                </c:pt>
                <c:pt idx="102">
                  <c:v>43071.642013888886</c:v>
                </c:pt>
                <c:pt idx="103">
                  <c:v>43071.643819444442</c:v>
                </c:pt>
                <c:pt idx="104">
                  <c:v>43071.643900462965</c:v>
                </c:pt>
                <c:pt idx="105">
                  <c:v>43071.644803240742</c:v>
                </c:pt>
                <c:pt idx="106">
                  <c:v>43071.646608796298</c:v>
                </c:pt>
                <c:pt idx="107">
                  <c:v>43071.646689814814</c:v>
                </c:pt>
                <c:pt idx="108">
                  <c:v>43071.647592592592</c:v>
                </c:pt>
                <c:pt idx="109">
                  <c:v>43071.647731481484</c:v>
                </c:pt>
                <c:pt idx="110">
                  <c:v>43071.649398148147</c:v>
                </c:pt>
                <c:pt idx="111">
                  <c:v>43071.64947916667</c:v>
                </c:pt>
                <c:pt idx="112">
                  <c:v>43071.650381944448</c:v>
                </c:pt>
                <c:pt idx="113">
                  <c:v>43071.650601851848</c:v>
                </c:pt>
                <c:pt idx="114">
                  <c:v>43071.652187500003</c:v>
                </c:pt>
                <c:pt idx="115">
                  <c:v>43071.652268518519</c:v>
                </c:pt>
                <c:pt idx="116">
                  <c:v>43071.653483796297</c:v>
                </c:pt>
                <c:pt idx="117">
                  <c:v>43071.654976851853</c:v>
                </c:pt>
                <c:pt idx="118">
                  <c:v>43071.655057870368</c:v>
                </c:pt>
                <c:pt idx="119">
                  <c:v>43071.655960648146</c:v>
                </c:pt>
                <c:pt idx="120">
                  <c:v>43071.656365740739</c:v>
                </c:pt>
                <c:pt idx="121">
                  <c:v>43071.657766203702</c:v>
                </c:pt>
                <c:pt idx="122">
                  <c:v>43071.658750000002</c:v>
                </c:pt>
                <c:pt idx="123">
                  <c:v>43071.659236111111</c:v>
                </c:pt>
                <c:pt idx="124">
                  <c:v>43071.660555555558</c:v>
                </c:pt>
              </c:numCache>
              <c:extLst xmlns:c15="http://schemas.microsoft.com/office/drawing/2012/chart"/>
            </c:numRef>
          </c:xVal>
          <c:yVal>
            <c:numRef>
              <c:f>data!$P$2:$P$9999</c:f>
              <c:numCache>
                <c:formatCode>General</c:formatCode>
                <c:ptCount val="9998"/>
                <c:pt idx="0">
                  <c:v>-7</c:v>
                </c:pt>
                <c:pt idx="1">
                  <c:v>-7</c:v>
                </c:pt>
                <c:pt idx="2">
                  <c:v>-9</c:v>
                </c:pt>
                <c:pt idx="3">
                  <c:v>-8</c:v>
                </c:pt>
                <c:pt idx="4">
                  <c:v>-7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-7</c:v>
                </c:pt>
                <c:pt idx="10">
                  <c:v>-7</c:v>
                </c:pt>
                <c:pt idx="11">
                  <c:v>-9</c:v>
                </c:pt>
                <c:pt idx="12">
                  <c:v>-7</c:v>
                </c:pt>
                <c:pt idx="13">
                  <c:v>-7</c:v>
                </c:pt>
                <c:pt idx="14">
                  <c:v>-7</c:v>
                </c:pt>
                <c:pt idx="15">
                  <c:v>-7</c:v>
                </c:pt>
                <c:pt idx="16">
                  <c:v>-9</c:v>
                </c:pt>
                <c:pt idx="17">
                  <c:v>-7</c:v>
                </c:pt>
                <c:pt idx="18">
                  <c:v>-7</c:v>
                </c:pt>
                <c:pt idx="19">
                  <c:v>-7</c:v>
                </c:pt>
                <c:pt idx="20">
                  <c:v>-7</c:v>
                </c:pt>
                <c:pt idx="21">
                  <c:v>-7</c:v>
                </c:pt>
                <c:pt idx="22">
                  <c:v>-9</c:v>
                </c:pt>
                <c:pt idx="23">
                  <c:v>-7</c:v>
                </c:pt>
                <c:pt idx="24">
                  <c:v>-8</c:v>
                </c:pt>
                <c:pt idx="25">
                  <c:v>-7</c:v>
                </c:pt>
                <c:pt idx="26">
                  <c:v>-7</c:v>
                </c:pt>
                <c:pt idx="27">
                  <c:v>-7</c:v>
                </c:pt>
                <c:pt idx="28">
                  <c:v>-9</c:v>
                </c:pt>
                <c:pt idx="29">
                  <c:v>-8</c:v>
                </c:pt>
                <c:pt idx="30">
                  <c:v>-8</c:v>
                </c:pt>
                <c:pt idx="31">
                  <c:v>-7</c:v>
                </c:pt>
                <c:pt idx="32">
                  <c:v>-7</c:v>
                </c:pt>
                <c:pt idx="33">
                  <c:v>-9</c:v>
                </c:pt>
                <c:pt idx="34">
                  <c:v>-7</c:v>
                </c:pt>
                <c:pt idx="35">
                  <c:v>-8</c:v>
                </c:pt>
                <c:pt idx="36">
                  <c:v>-7</c:v>
                </c:pt>
                <c:pt idx="37">
                  <c:v>-9</c:v>
                </c:pt>
                <c:pt idx="38">
                  <c:v>-7</c:v>
                </c:pt>
                <c:pt idx="39">
                  <c:v>-7</c:v>
                </c:pt>
                <c:pt idx="40">
                  <c:v>-9</c:v>
                </c:pt>
                <c:pt idx="41">
                  <c:v>-7</c:v>
                </c:pt>
                <c:pt idx="42">
                  <c:v>-7</c:v>
                </c:pt>
                <c:pt idx="43">
                  <c:v>-7</c:v>
                </c:pt>
                <c:pt idx="44">
                  <c:v>-7</c:v>
                </c:pt>
                <c:pt idx="45">
                  <c:v>-7</c:v>
                </c:pt>
                <c:pt idx="46">
                  <c:v>-9</c:v>
                </c:pt>
                <c:pt idx="47">
                  <c:v>-8</c:v>
                </c:pt>
                <c:pt idx="48">
                  <c:v>-7</c:v>
                </c:pt>
                <c:pt idx="49">
                  <c:v>-7</c:v>
                </c:pt>
                <c:pt idx="50">
                  <c:v>-7</c:v>
                </c:pt>
                <c:pt idx="51">
                  <c:v>-7</c:v>
                </c:pt>
                <c:pt idx="52">
                  <c:v>-9</c:v>
                </c:pt>
                <c:pt idx="53">
                  <c:v>-7</c:v>
                </c:pt>
                <c:pt idx="54">
                  <c:v>-7</c:v>
                </c:pt>
                <c:pt idx="55">
                  <c:v>-7</c:v>
                </c:pt>
                <c:pt idx="56">
                  <c:v>-7</c:v>
                </c:pt>
                <c:pt idx="57">
                  <c:v>-9</c:v>
                </c:pt>
                <c:pt idx="58">
                  <c:v>-7</c:v>
                </c:pt>
                <c:pt idx="59">
                  <c:v>-7</c:v>
                </c:pt>
                <c:pt idx="60">
                  <c:v>-7</c:v>
                </c:pt>
                <c:pt idx="61">
                  <c:v>-7</c:v>
                </c:pt>
                <c:pt idx="62">
                  <c:v>-9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-7</c:v>
                </c:pt>
                <c:pt idx="67">
                  <c:v>-9</c:v>
                </c:pt>
                <c:pt idx="68">
                  <c:v>-9</c:v>
                </c:pt>
                <c:pt idx="69">
                  <c:v>-7</c:v>
                </c:pt>
                <c:pt idx="70">
                  <c:v>-7</c:v>
                </c:pt>
                <c:pt idx="71">
                  <c:v>-8</c:v>
                </c:pt>
                <c:pt idx="72">
                  <c:v>-9</c:v>
                </c:pt>
                <c:pt idx="73">
                  <c:v>-7</c:v>
                </c:pt>
                <c:pt idx="74">
                  <c:v>-7</c:v>
                </c:pt>
                <c:pt idx="75">
                  <c:v>-8</c:v>
                </c:pt>
                <c:pt idx="76">
                  <c:v>-9</c:v>
                </c:pt>
                <c:pt idx="77">
                  <c:v>-6</c:v>
                </c:pt>
                <c:pt idx="78">
                  <c:v>-6</c:v>
                </c:pt>
                <c:pt idx="79">
                  <c:v>-9</c:v>
                </c:pt>
                <c:pt idx="80">
                  <c:v>-7</c:v>
                </c:pt>
                <c:pt idx="81">
                  <c:v>-7</c:v>
                </c:pt>
                <c:pt idx="82">
                  <c:v>-9</c:v>
                </c:pt>
                <c:pt idx="83">
                  <c:v>-8</c:v>
                </c:pt>
                <c:pt idx="84">
                  <c:v>-7</c:v>
                </c:pt>
                <c:pt idx="85">
                  <c:v>-4</c:v>
                </c:pt>
                <c:pt idx="86">
                  <c:v>-9</c:v>
                </c:pt>
                <c:pt idx="87">
                  <c:v>-7</c:v>
                </c:pt>
                <c:pt idx="88">
                  <c:v>-7</c:v>
                </c:pt>
                <c:pt idx="89">
                  <c:v>-9</c:v>
                </c:pt>
                <c:pt idx="90">
                  <c:v>-7</c:v>
                </c:pt>
                <c:pt idx="91">
                  <c:v>-7</c:v>
                </c:pt>
                <c:pt idx="92">
                  <c:v>-6</c:v>
                </c:pt>
                <c:pt idx="93">
                  <c:v>-9</c:v>
                </c:pt>
                <c:pt idx="94">
                  <c:v>-7</c:v>
                </c:pt>
                <c:pt idx="95">
                  <c:v>-7</c:v>
                </c:pt>
                <c:pt idx="96">
                  <c:v>-9</c:v>
                </c:pt>
                <c:pt idx="97">
                  <c:v>-7</c:v>
                </c:pt>
                <c:pt idx="98">
                  <c:v>-7</c:v>
                </c:pt>
                <c:pt idx="99">
                  <c:v>-9</c:v>
                </c:pt>
                <c:pt idx="100">
                  <c:v>-9</c:v>
                </c:pt>
                <c:pt idx="101">
                  <c:v>-7</c:v>
                </c:pt>
                <c:pt idx="102">
                  <c:v>-9</c:v>
                </c:pt>
                <c:pt idx="103">
                  <c:v>-8</c:v>
                </c:pt>
                <c:pt idx="104">
                  <c:v>-8</c:v>
                </c:pt>
                <c:pt idx="105">
                  <c:v>-8</c:v>
                </c:pt>
                <c:pt idx="106">
                  <c:v>-9</c:v>
                </c:pt>
                <c:pt idx="107">
                  <c:v>-8</c:v>
                </c:pt>
                <c:pt idx="108">
                  <c:v>-7</c:v>
                </c:pt>
                <c:pt idx="109">
                  <c:v>-7</c:v>
                </c:pt>
                <c:pt idx="110">
                  <c:v>-9</c:v>
                </c:pt>
                <c:pt idx="111">
                  <c:v>-8</c:v>
                </c:pt>
                <c:pt idx="112">
                  <c:v>-8</c:v>
                </c:pt>
                <c:pt idx="113">
                  <c:v>-7</c:v>
                </c:pt>
                <c:pt idx="114">
                  <c:v>59</c:v>
                </c:pt>
                <c:pt idx="115">
                  <c:v>-7</c:v>
                </c:pt>
                <c:pt idx="116">
                  <c:v>-7</c:v>
                </c:pt>
                <c:pt idx="117">
                  <c:v>-9</c:v>
                </c:pt>
                <c:pt idx="118">
                  <c:v>-8</c:v>
                </c:pt>
                <c:pt idx="119">
                  <c:v>-7</c:v>
                </c:pt>
                <c:pt idx="120">
                  <c:v>-7</c:v>
                </c:pt>
                <c:pt idx="121">
                  <c:v>-9</c:v>
                </c:pt>
                <c:pt idx="122">
                  <c:v>-8</c:v>
                </c:pt>
                <c:pt idx="123">
                  <c:v>-7</c:v>
                </c:pt>
                <c:pt idx="124">
                  <c:v>-9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data!$O$1</c:f>
              <c:strCache>
                <c:ptCount val="1"/>
                <c:pt idx="0">
                  <c:v>Vbatt (volt)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43071.578194444446</c:v>
                </c:pt>
                <c:pt idx="1">
                  <c:v>43071.578692129631</c:v>
                </c:pt>
                <c:pt idx="2">
                  <c:v>43071.579664351855</c:v>
                </c:pt>
                <c:pt idx="3">
                  <c:v>43071.579745370371</c:v>
                </c:pt>
                <c:pt idx="4">
                  <c:v>43071.581574074073</c:v>
                </c:pt>
                <c:pt idx="5">
                  <c:v>43071.581793981481</c:v>
                </c:pt>
                <c:pt idx="6">
                  <c:v>43071.582453703704</c:v>
                </c:pt>
                <c:pt idx="7">
                  <c:v>43071.58253472222</c:v>
                </c:pt>
                <c:pt idx="8">
                  <c:v>43071.583055555559</c:v>
                </c:pt>
                <c:pt idx="9">
                  <c:v>43071.584456018521</c:v>
                </c:pt>
                <c:pt idx="10">
                  <c:v>43071.585081018522</c:v>
                </c:pt>
                <c:pt idx="11">
                  <c:v>43071.585243055553</c:v>
                </c:pt>
                <c:pt idx="12">
                  <c:v>43071.585324074076</c:v>
                </c:pt>
                <c:pt idx="13">
                  <c:v>43071.586099537039</c:v>
                </c:pt>
                <c:pt idx="14">
                  <c:v>43071.587118055555</c:v>
                </c:pt>
                <c:pt idx="15">
                  <c:v>43071.587326388886</c:v>
                </c:pt>
                <c:pt idx="16">
                  <c:v>43071.58803240741</c:v>
                </c:pt>
                <c:pt idx="17">
                  <c:v>43071.588113425925</c:v>
                </c:pt>
                <c:pt idx="18">
                  <c:v>43071.588136574072</c:v>
                </c:pt>
                <c:pt idx="19">
                  <c:v>43071.589166666665</c:v>
                </c:pt>
                <c:pt idx="20">
                  <c:v>43071.590196759258</c:v>
                </c:pt>
                <c:pt idx="21">
                  <c:v>43071.590208333335</c:v>
                </c:pt>
                <c:pt idx="22">
                  <c:v>43071.590821759259</c:v>
                </c:pt>
                <c:pt idx="23">
                  <c:v>43071.590902777774</c:v>
                </c:pt>
                <c:pt idx="24">
                  <c:v>43071.591226851851</c:v>
                </c:pt>
                <c:pt idx="25">
                  <c:v>43071.592256944445</c:v>
                </c:pt>
                <c:pt idx="26">
                  <c:v>43071.593078703707</c:v>
                </c:pt>
                <c:pt idx="27">
                  <c:v>43071.593275462961</c:v>
                </c:pt>
                <c:pt idx="28">
                  <c:v>43071.593611111108</c:v>
                </c:pt>
                <c:pt idx="29">
                  <c:v>43071.594305555554</c:v>
                </c:pt>
                <c:pt idx="30">
                  <c:v>43071.595335648148</c:v>
                </c:pt>
                <c:pt idx="31">
                  <c:v>43071.595960648148</c:v>
                </c:pt>
                <c:pt idx="32">
                  <c:v>43071.596354166664</c:v>
                </c:pt>
                <c:pt idx="33">
                  <c:v>43071.596400462964</c:v>
                </c:pt>
                <c:pt idx="34">
                  <c:v>43071.59648148148</c:v>
                </c:pt>
                <c:pt idx="35">
                  <c:v>43071.597372685188</c:v>
                </c:pt>
                <c:pt idx="36">
                  <c:v>43071.59883101852</c:v>
                </c:pt>
                <c:pt idx="37">
                  <c:v>43071.599189814813</c:v>
                </c:pt>
                <c:pt idx="38">
                  <c:v>43071.599270833336</c:v>
                </c:pt>
                <c:pt idx="39">
                  <c:v>43071.601712962962</c:v>
                </c:pt>
                <c:pt idx="40">
                  <c:v>43071.601979166669</c:v>
                </c:pt>
                <c:pt idx="41">
                  <c:v>43071.602060185185</c:v>
                </c:pt>
                <c:pt idx="42">
                  <c:v>43071.602442129632</c:v>
                </c:pt>
                <c:pt idx="43">
                  <c:v>43071.603460648148</c:v>
                </c:pt>
                <c:pt idx="44">
                  <c:v>43071.604490740741</c:v>
                </c:pt>
                <c:pt idx="45">
                  <c:v>43071.604583333334</c:v>
                </c:pt>
                <c:pt idx="46">
                  <c:v>43071.604768518519</c:v>
                </c:pt>
                <c:pt idx="47">
                  <c:v>43071.604849537034</c:v>
                </c:pt>
                <c:pt idx="48">
                  <c:v>43071.605509259258</c:v>
                </c:pt>
                <c:pt idx="49">
                  <c:v>43071.606527777774</c:v>
                </c:pt>
                <c:pt idx="50">
                  <c:v>43071.607465277775</c:v>
                </c:pt>
                <c:pt idx="51">
                  <c:v>43071.607557870368</c:v>
                </c:pt>
                <c:pt idx="52">
                  <c:v>43071.607557870368</c:v>
                </c:pt>
                <c:pt idx="53">
                  <c:v>43071.607638888891</c:v>
                </c:pt>
                <c:pt idx="54">
                  <c:v>43071.608564814815</c:v>
                </c:pt>
                <c:pt idx="55">
                  <c:v>43071.609583333331</c:v>
                </c:pt>
                <c:pt idx="56">
                  <c:v>43071.610335648147</c:v>
                </c:pt>
                <c:pt idx="57">
                  <c:v>43071.610347222224</c:v>
                </c:pt>
                <c:pt idx="58">
                  <c:v>43071.61042824074</c:v>
                </c:pt>
                <c:pt idx="59">
                  <c:v>43071.610601851855</c:v>
                </c:pt>
                <c:pt idx="60">
                  <c:v>43071.611620370371</c:v>
                </c:pt>
                <c:pt idx="61">
                  <c:v>43071.612650462965</c:v>
                </c:pt>
                <c:pt idx="62">
                  <c:v>43071.613136574073</c:v>
                </c:pt>
                <c:pt idx="63">
                  <c:v>43071.613217592596</c:v>
                </c:pt>
                <c:pt idx="64">
                  <c:v>43071.613217592596</c:v>
                </c:pt>
                <c:pt idx="65">
                  <c:v>43071.614675925928</c:v>
                </c:pt>
                <c:pt idx="66">
                  <c:v>43071.615127314813</c:v>
                </c:pt>
                <c:pt idx="67">
                  <c:v>43071.615613425929</c:v>
                </c:pt>
                <c:pt idx="68">
                  <c:v>43071.615925925929</c:v>
                </c:pt>
                <c:pt idx="69">
                  <c:v>43071.616006944445</c:v>
                </c:pt>
                <c:pt idx="70">
                  <c:v>43071.616087962961</c:v>
                </c:pt>
                <c:pt idx="71">
                  <c:v>43071.618402777778</c:v>
                </c:pt>
                <c:pt idx="72">
                  <c:v>43071.618715277778</c:v>
                </c:pt>
                <c:pt idx="73">
                  <c:v>43071.618796296294</c:v>
                </c:pt>
                <c:pt idx="74">
                  <c:v>43071.618969907409</c:v>
                </c:pt>
                <c:pt idx="75">
                  <c:v>43071.621192129627</c:v>
                </c:pt>
                <c:pt idx="76">
                  <c:v>43071.621504629627</c:v>
                </c:pt>
                <c:pt idx="77">
                  <c:v>43071.621840277781</c:v>
                </c:pt>
                <c:pt idx="78">
                  <c:v>43071.623981481483</c:v>
                </c:pt>
                <c:pt idx="79">
                  <c:v>43071.624293981484</c:v>
                </c:pt>
                <c:pt idx="80">
                  <c:v>43071.624374999999</c:v>
                </c:pt>
                <c:pt idx="81">
                  <c:v>43071.624722222223</c:v>
                </c:pt>
                <c:pt idx="82">
                  <c:v>43071.627083333333</c:v>
                </c:pt>
                <c:pt idx="83">
                  <c:v>43071.627164351848</c:v>
                </c:pt>
                <c:pt idx="84">
                  <c:v>43071.627592592595</c:v>
                </c:pt>
                <c:pt idx="85">
                  <c:v>43071.629560185182</c:v>
                </c:pt>
                <c:pt idx="86">
                  <c:v>43071.629872685182</c:v>
                </c:pt>
                <c:pt idx="87">
                  <c:v>43071.629953703705</c:v>
                </c:pt>
                <c:pt idx="88">
                  <c:v>43071.630474537036</c:v>
                </c:pt>
                <c:pt idx="89">
                  <c:v>43071.632662037038</c:v>
                </c:pt>
                <c:pt idx="90">
                  <c:v>43071.632743055554</c:v>
                </c:pt>
                <c:pt idx="91">
                  <c:v>43071.633344907408</c:v>
                </c:pt>
                <c:pt idx="92">
                  <c:v>43071.635138888887</c:v>
                </c:pt>
                <c:pt idx="93">
                  <c:v>43071.635451388887</c:v>
                </c:pt>
                <c:pt idx="94">
                  <c:v>43071.63553240741</c:v>
                </c:pt>
                <c:pt idx="95">
                  <c:v>43071.63622685185</c:v>
                </c:pt>
                <c:pt idx="96">
                  <c:v>43071.638240740744</c:v>
                </c:pt>
                <c:pt idx="97">
                  <c:v>43071.638321759259</c:v>
                </c:pt>
                <c:pt idx="98">
                  <c:v>43071.639097222222</c:v>
                </c:pt>
                <c:pt idx="99">
                  <c:v>43071.641030092593</c:v>
                </c:pt>
                <c:pt idx="100">
                  <c:v>43071.641597222224</c:v>
                </c:pt>
                <c:pt idx="101">
                  <c:v>43071.641979166663</c:v>
                </c:pt>
                <c:pt idx="102">
                  <c:v>43071.642013888886</c:v>
                </c:pt>
                <c:pt idx="103">
                  <c:v>43071.643819444442</c:v>
                </c:pt>
                <c:pt idx="104">
                  <c:v>43071.643900462965</c:v>
                </c:pt>
                <c:pt idx="105">
                  <c:v>43071.644803240742</c:v>
                </c:pt>
                <c:pt idx="106">
                  <c:v>43071.646608796298</c:v>
                </c:pt>
                <c:pt idx="107">
                  <c:v>43071.646689814814</c:v>
                </c:pt>
                <c:pt idx="108">
                  <c:v>43071.647592592592</c:v>
                </c:pt>
                <c:pt idx="109">
                  <c:v>43071.647731481484</c:v>
                </c:pt>
                <c:pt idx="110">
                  <c:v>43071.649398148147</c:v>
                </c:pt>
                <c:pt idx="111">
                  <c:v>43071.64947916667</c:v>
                </c:pt>
                <c:pt idx="112">
                  <c:v>43071.650381944448</c:v>
                </c:pt>
                <c:pt idx="113">
                  <c:v>43071.650601851848</c:v>
                </c:pt>
                <c:pt idx="114">
                  <c:v>43071.652187500003</c:v>
                </c:pt>
                <c:pt idx="115">
                  <c:v>43071.652268518519</c:v>
                </c:pt>
                <c:pt idx="116">
                  <c:v>43071.653483796297</c:v>
                </c:pt>
                <c:pt idx="117">
                  <c:v>43071.654976851853</c:v>
                </c:pt>
                <c:pt idx="118">
                  <c:v>43071.655057870368</c:v>
                </c:pt>
                <c:pt idx="119">
                  <c:v>43071.655960648146</c:v>
                </c:pt>
                <c:pt idx="120">
                  <c:v>43071.656365740739</c:v>
                </c:pt>
                <c:pt idx="121">
                  <c:v>43071.657766203702</c:v>
                </c:pt>
                <c:pt idx="122">
                  <c:v>43071.658750000002</c:v>
                </c:pt>
                <c:pt idx="123">
                  <c:v>43071.659236111111</c:v>
                </c:pt>
                <c:pt idx="124">
                  <c:v>43071.660555555558</c:v>
                </c:pt>
              </c:numCache>
              <c:extLst xmlns:c15="http://schemas.microsoft.com/office/drawing/2012/chart"/>
            </c:numRef>
          </c:xVal>
          <c:yVal>
            <c:numRef>
              <c:f>data!$O$2:$O$9999</c:f>
              <c:numCache>
                <c:formatCode>General</c:formatCode>
                <c:ptCount val="9998"/>
                <c:pt idx="0">
                  <c:v>4.26</c:v>
                </c:pt>
                <c:pt idx="1">
                  <c:v>4.18</c:v>
                </c:pt>
                <c:pt idx="2">
                  <c:v>4.0199999999999996</c:v>
                </c:pt>
                <c:pt idx="3">
                  <c:v>3.78</c:v>
                </c:pt>
                <c:pt idx="4">
                  <c:v>4.18</c:v>
                </c:pt>
                <c:pt idx="5">
                  <c:v>4.12</c:v>
                </c:pt>
                <c:pt idx="6">
                  <c:v>3.98</c:v>
                </c:pt>
                <c:pt idx="7">
                  <c:v>3.72</c:v>
                </c:pt>
                <c:pt idx="8">
                  <c:v>4.3</c:v>
                </c:pt>
                <c:pt idx="9">
                  <c:v>4.18</c:v>
                </c:pt>
                <c:pt idx="10">
                  <c:v>4.28</c:v>
                </c:pt>
                <c:pt idx="11">
                  <c:v>3.94</c:v>
                </c:pt>
                <c:pt idx="12">
                  <c:v>3.78</c:v>
                </c:pt>
                <c:pt idx="13">
                  <c:v>4.26</c:v>
                </c:pt>
                <c:pt idx="14">
                  <c:v>4.2</c:v>
                </c:pt>
                <c:pt idx="15">
                  <c:v>4.18</c:v>
                </c:pt>
                <c:pt idx="16">
                  <c:v>3.94</c:v>
                </c:pt>
                <c:pt idx="17">
                  <c:v>3.84</c:v>
                </c:pt>
                <c:pt idx="18">
                  <c:v>4.22</c:v>
                </c:pt>
                <c:pt idx="19">
                  <c:v>4.2</c:v>
                </c:pt>
                <c:pt idx="20">
                  <c:v>4.24</c:v>
                </c:pt>
                <c:pt idx="21">
                  <c:v>4.18</c:v>
                </c:pt>
                <c:pt idx="22">
                  <c:v>3.98</c:v>
                </c:pt>
                <c:pt idx="23">
                  <c:v>3.84</c:v>
                </c:pt>
                <c:pt idx="24">
                  <c:v>4.28</c:v>
                </c:pt>
                <c:pt idx="25">
                  <c:v>4.2</c:v>
                </c:pt>
                <c:pt idx="26">
                  <c:v>4.18</c:v>
                </c:pt>
                <c:pt idx="27">
                  <c:v>4.18</c:v>
                </c:pt>
                <c:pt idx="28">
                  <c:v>3.94</c:v>
                </c:pt>
                <c:pt idx="29">
                  <c:v>4.16</c:v>
                </c:pt>
                <c:pt idx="30">
                  <c:v>4.22</c:v>
                </c:pt>
                <c:pt idx="31">
                  <c:v>4.16</c:v>
                </c:pt>
                <c:pt idx="32">
                  <c:v>4.2</c:v>
                </c:pt>
                <c:pt idx="33">
                  <c:v>3.94</c:v>
                </c:pt>
                <c:pt idx="34">
                  <c:v>3.76</c:v>
                </c:pt>
                <c:pt idx="35">
                  <c:v>4.18</c:v>
                </c:pt>
                <c:pt idx="36">
                  <c:v>4.16</c:v>
                </c:pt>
                <c:pt idx="37">
                  <c:v>3.98</c:v>
                </c:pt>
                <c:pt idx="38">
                  <c:v>3.84</c:v>
                </c:pt>
                <c:pt idx="39">
                  <c:v>4.16</c:v>
                </c:pt>
                <c:pt idx="40">
                  <c:v>4</c:v>
                </c:pt>
                <c:pt idx="41">
                  <c:v>3.78</c:v>
                </c:pt>
                <c:pt idx="42">
                  <c:v>4.1399999999999997</c:v>
                </c:pt>
                <c:pt idx="43">
                  <c:v>4.12</c:v>
                </c:pt>
                <c:pt idx="44">
                  <c:v>4.12</c:v>
                </c:pt>
                <c:pt idx="45">
                  <c:v>4.16</c:v>
                </c:pt>
                <c:pt idx="46">
                  <c:v>3.96</c:v>
                </c:pt>
                <c:pt idx="47">
                  <c:v>3.72</c:v>
                </c:pt>
                <c:pt idx="48">
                  <c:v>4.2</c:v>
                </c:pt>
                <c:pt idx="49">
                  <c:v>4.1399999999999997</c:v>
                </c:pt>
                <c:pt idx="50">
                  <c:v>4.16</c:v>
                </c:pt>
                <c:pt idx="51">
                  <c:v>4.12</c:v>
                </c:pt>
                <c:pt idx="52">
                  <c:v>4</c:v>
                </c:pt>
                <c:pt idx="53">
                  <c:v>3.84</c:v>
                </c:pt>
                <c:pt idx="54">
                  <c:v>4.22</c:v>
                </c:pt>
                <c:pt idx="55">
                  <c:v>4.18</c:v>
                </c:pt>
                <c:pt idx="56">
                  <c:v>4.16</c:v>
                </c:pt>
                <c:pt idx="57">
                  <c:v>4.0199999999999996</c:v>
                </c:pt>
                <c:pt idx="58">
                  <c:v>3.76</c:v>
                </c:pt>
                <c:pt idx="59">
                  <c:v>4.0999999999999996</c:v>
                </c:pt>
                <c:pt idx="60">
                  <c:v>4.12</c:v>
                </c:pt>
                <c:pt idx="61">
                  <c:v>4.12</c:v>
                </c:pt>
                <c:pt idx="62">
                  <c:v>4.0199999999999996</c:v>
                </c:pt>
                <c:pt idx="63">
                  <c:v>4.1399999999999997</c:v>
                </c:pt>
                <c:pt idx="64">
                  <c:v>3.76</c:v>
                </c:pt>
                <c:pt idx="65">
                  <c:v>4.1399999999999997</c:v>
                </c:pt>
                <c:pt idx="66">
                  <c:v>4.0999999999999996</c:v>
                </c:pt>
                <c:pt idx="67">
                  <c:v>4.24</c:v>
                </c:pt>
                <c:pt idx="68">
                  <c:v>3.92</c:v>
                </c:pt>
                <c:pt idx="69">
                  <c:v>3.78</c:v>
                </c:pt>
                <c:pt idx="70">
                  <c:v>4.1399999999999997</c:v>
                </c:pt>
                <c:pt idx="71">
                  <c:v>4.22</c:v>
                </c:pt>
                <c:pt idx="72">
                  <c:v>3.94</c:v>
                </c:pt>
                <c:pt idx="73">
                  <c:v>3.76</c:v>
                </c:pt>
                <c:pt idx="74">
                  <c:v>4.1399999999999997</c:v>
                </c:pt>
                <c:pt idx="75">
                  <c:v>4.24</c:v>
                </c:pt>
                <c:pt idx="76">
                  <c:v>3.9</c:v>
                </c:pt>
                <c:pt idx="77">
                  <c:v>4.0999999999999996</c:v>
                </c:pt>
                <c:pt idx="78">
                  <c:v>4.24</c:v>
                </c:pt>
                <c:pt idx="79">
                  <c:v>3.96</c:v>
                </c:pt>
                <c:pt idx="80">
                  <c:v>3.82</c:v>
                </c:pt>
                <c:pt idx="81">
                  <c:v>4.1399999999999997</c:v>
                </c:pt>
                <c:pt idx="82">
                  <c:v>4</c:v>
                </c:pt>
                <c:pt idx="83">
                  <c:v>3.72</c:v>
                </c:pt>
                <c:pt idx="84">
                  <c:v>4.1399999999999997</c:v>
                </c:pt>
                <c:pt idx="85">
                  <c:v>4.28</c:v>
                </c:pt>
                <c:pt idx="86">
                  <c:v>4</c:v>
                </c:pt>
                <c:pt idx="87">
                  <c:v>3.84</c:v>
                </c:pt>
                <c:pt idx="88">
                  <c:v>4.1399999999999997</c:v>
                </c:pt>
                <c:pt idx="89">
                  <c:v>4</c:v>
                </c:pt>
                <c:pt idx="90">
                  <c:v>3.84</c:v>
                </c:pt>
                <c:pt idx="91">
                  <c:v>4.1399999999999997</c:v>
                </c:pt>
                <c:pt idx="92">
                  <c:v>4.28</c:v>
                </c:pt>
                <c:pt idx="93">
                  <c:v>3.9</c:v>
                </c:pt>
                <c:pt idx="94">
                  <c:v>3.84</c:v>
                </c:pt>
                <c:pt idx="95">
                  <c:v>4.1399999999999997</c:v>
                </c:pt>
                <c:pt idx="96">
                  <c:v>3.9</c:v>
                </c:pt>
                <c:pt idx="97">
                  <c:v>3.84</c:v>
                </c:pt>
                <c:pt idx="98">
                  <c:v>4.12</c:v>
                </c:pt>
                <c:pt idx="99">
                  <c:v>4.08</c:v>
                </c:pt>
                <c:pt idx="100">
                  <c:v>4.0599999999999996</c:v>
                </c:pt>
                <c:pt idx="101">
                  <c:v>4.1399999999999997</c:v>
                </c:pt>
                <c:pt idx="102">
                  <c:v>4.0599999999999996</c:v>
                </c:pt>
                <c:pt idx="103">
                  <c:v>4.12</c:v>
                </c:pt>
                <c:pt idx="104">
                  <c:v>3.78</c:v>
                </c:pt>
                <c:pt idx="105">
                  <c:v>4.18</c:v>
                </c:pt>
                <c:pt idx="106">
                  <c:v>4.0599999999999996</c:v>
                </c:pt>
                <c:pt idx="107">
                  <c:v>3.76</c:v>
                </c:pt>
                <c:pt idx="108">
                  <c:v>4.18</c:v>
                </c:pt>
                <c:pt idx="109">
                  <c:v>4.12</c:v>
                </c:pt>
                <c:pt idx="110">
                  <c:v>4.1399999999999997</c:v>
                </c:pt>
                <c:pt idx="111">
                  <c:v>3.72</c:v>
                </c:pt>
                <c:pt idx="112">
                  <c:v>4.24</c:v>
                </c:pt>
                <c:pt idx="113">
                  <c:v>4.12</c:v>
                </c:pt>
                <c:pt idx="114">
                  <c:v>4.0599999999999996</c:v>
                </c:pt>
                <c:pt idx="115">
                  <c:v>3.78</c:v>
                </c:pt>
                <c:pt idx="116">
                  <c:v>4.12</c:v>
                </c:pt>
                <c:pt idx="117">
                  <c:v>4.0599999999999996</c:v>
                </c:pt>
                <c:pt idx="118">
                  <c:v>3.76</c:v>
                </c:pt>
                <c:pt idx="119">
                  <c:v>4.26</c:v>
                </c:pt>
                <c:pt idx="120">
                  <c:v>4.12</c:v>
                </c:pt>
                <c:pt idx="121">
                  <c:v>4.0599999999999996</c:v>
                </c:pt>
                <c:pt idx="122">
                  <c:v>4.1399999999999997</c:v>
                </c:pt>
                <c:pt idx="123">
                  <c:v>4.12</c:v>
                </c:pt>
                <c:pt idx="124">
                  <c:v>4.16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1632"/>
        <c:axId val="-1302650208"/>
      </c:scatterChart>
      <c:valAx>
        <c:axId val="-13026512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302646400"/>
        <c:crosses val="max"/>
        <c:crossBetween val="midCat"/>
      </c:valAx>
      <c:valAx>
        <c:axId val="-13026464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1296"/>
        <c:crosses val="autoZero"/>
        <c:crossBetween val="midCat"/>
      </c:valAx>
      <c:valAx>
        <c:axId val="-1302650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302661632"/>
        <c:crosses val="autoZero"/>
        <c:crossBetween val="midCat"/>
      </c:valAx>
      <c:valAx>
        <c:axId val="-13026616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Payload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43071.578194444446</c:v>
                </c:pt>
                <c:pt idx="1">
                  <c:v>43071.578692129631</c:v>
                </c:pt>
                <c:pt idx="2">
                  <c:v>43071.579664351855</c:v>
                </c:pt>
                <c:pt idx="3">
                  <c:v>43071.579745370371</c:v>
                </c:pt>
                <c:pt idx="4">
                  <c:v>43071.581574074073</c:v>
                </c:pt>
                <c:pt idx="5">
                  <c:v>43071.581793981481</c:v>
                </c:pt>
                <c:pt idx="6">
                  <c:v>43071.582453703704</c:v>
                </c:pt>
                <c:pt idx="7">
                  <c:v>43071.58253472222</c:v>
                </c:pt>
                <c:pt idx="8">
                  <c:v>43071.583055555559</c:v>
                </c:pt>
                <c:pt idx="9">
                  <c:v>43071.584456018521</c:v>
                </c:pt>
                <c:pt idx="10">
                  <c:v>43071.585081018522</c:v>
                </c:pt>
                <c:pt idx="11">
                  <c:v>43071.585243055553</c:v>
                </c:pt>
                <c:pt idx="12">
                  <c:v>43071.585324074076</c:v>
                </c:pt>
                <c:pt idx="13">
                  <c:v>43071.586099537039</c:v>
                </c:pt>
                <c:pt idx="14">
                  <c:v>43071.587118055555</c:v>
                </c:pt>
                <c:pt idx="15">
                  <c:v>43071.587326388886</c:v>
                </c:pt>
                <c:pt idx="16">
                  <c:v>43071.58803240741</c:v>
                </c:pt>
                <c:pt idx="17">
                  <c:v>43071.588113425925</c:v>
                </c:pt>
                <c:pt idx="18">
                  <c:v>43071.588136574072</c:v>
                </c:pt>
                <c:pt idx="19">
                  <c:v>43071.589166666665</c:v>
                </c:pt>
                <c:pt idx="20">
                  <c:v>43071.590196759258</c:v>
                </c:pt>
                <c:pt idx="21">
                  <c:v>43071.590208333335</c:v>
                </c:pt>
                <c:pt idx="22">
                  <c:v>43071.590821759259</c:v>
                </c:pt>
                <c:pt idx="23">
                  <c:v>43071.590902777774</c:v>
                </c:pt>
                <c:pt idx="24">
                  <c:v>43071.591226851851</c:v>
                </c:pt>
                <c:pt idx="25">
                  <c:v>43071.592256944445</c:v>
                </c:pt>
                <c:pt idx="26">
                  <c:v>43071.593078703707</c:v>
                </c:pt>
                <c:pt idx="27">
                  <c:v>43071.593275462961</c:v>
                </c:pt>
                <c:pt idx="28">
                  <c:v>43071.593611111108</c:v>
                </c:pt>
                <c:pt idx="29">
                  <c:v>43071.594305555554</c:v>
                </c:pt>
                <c:pt idx="30">
                  <c:v>43071.595335648148</c:v>
                </c:pt>
                <c:pt idx="31">
                  <c:v>43071.595960648148</c:v>
                </c:pt>
                <c:pt idx="32">
                  <c:v>43071.596354166664</c:v>
                </c:pt>
                <c:pt idx="33">
                  <c:v>43071.596400462964</c:v>
                </c:pt>
                <c:pt idx="34">
                  <c:v>43071.59648148148</c:v>
                </c:pt>
                <c:pt idx="35">
                  <c:v>43071.597372685188</c:v>
                </c:pt>
                <c:pt idx="36">
                  <c:v>43071.59883101852</c:v>
                </c:pt>
                <c:pt idx="37">
                  <c:v>43071.599189814813</c:v>
                </c:pt>
                <c:pt idx="38">
                  <c:v>43071.599270833336</c:v>
                </c:pt>
                <c:pt idx="39">
                  <c:v>43071.601712962962</c:v>
                </c:pt>
                <c:pt idx="40">
                  <c:v>43071.601979166669</c:v>
                </c:pt>
                <c:pt idx="41">
                  <c:v>43071.602060185185</c:v>
                </c:pt>
                <c:pt idx="42">
                  <c:v>43071.602442129632</c:v>
                </c:pt>
                <c:pt idx="43">
                  <c:v>43071.603460648148</c:v>
                </c:pt>
                <c:pt idx="44">
                  <c:v>43071.604490740741</c:v>
                </c:pt>
                <c:pt idx="45">
                  <c:v>43071.604583333334</c:v>
                </c:pt>
                <c:pt idx="46">
                  <c:v>43071.604768518519</c:v>
                </c:pt>
                <c:pt idx="47">
                  <c:v>43071.604849537034</c:v>
                </c:pt>
                <c:pt idx="48">
                  <c:v>43071.605509259258</c:v>
                </c:pt>
                <c:pt idx="49">
                  <c:v>43071.606527777774</c:v>
                </c:pt>
                <c:pt idx="50">
                  <c:v>43071.607465277775</c:v>
                </c:pt>
                <c:pt idx="51">
                  <c:v>43071.607557870368</c:v>
                </c:pt>
                <c:pt idx="52">
                  <c:v>43071.607557870368</c:v>
                </c:pt>
                <c:pt idx="53">
                  <c:v>43071.607638888891</c:v>
                </c:pt>
                <c:pt idx="54">
                  <c:v>43071.608564814815</c:v>
                </c:pt>
                <c:pt idx="55">
                  <c:v>43071.609583333331</c:v>
                </c:pt>
                <c:pt idx="56">
                  <c:v>43071.610335648147</c:v>
                </c:pt>
                <c:pt idx="57">
                  <c:v>43071.610347222224</c:v>
                </c:pt>
                <c:pt idx="58">
                  <c:v>43071.61042824074</c:v>
                </c:pt>
                <c:pt idx="59">
                  <c:v>43071.610601851855</c:v>
                </c:pt>
                <c:pt idx="60">
                  <c:v>43071.611620370371</c:v>
                </c:pt>
                <c:pt idx="61">
                  <c:v>43071.612650462965</c:v>
                </c:pt>
                <c:pt idx="62">
                  <c:v>43071.613136574073</c:v>
                </c:pt>
                <c:pt idx="63">
                  <c:v>43071.613217592596</c:v>
                </c:pt>
                <c:pt idx="64">
                  <c:v>43071.613217592596</c:v>
                </c:pt>
                <c:pt idx="65">
                  <c:v>43071.614675925928</c:v>
                </c:pt>
                <c:pt idx="66">
                  <c:v>43071.615127314813</c:v>
                </c:pt>
                <c:pt idx="67">
                  <c:v>43071.615613425929</c:v>
                </c:pt>
                <c:pt idx="68">
                  <c:v>43071.615925925929</c:v>
                </c:pt>
                <c:pt idx="69">
                  <c:v>43071.616006944445</c:v>
                </c:pt>
                <c:pt idx="70">
                  <c:v>43071.616087962961</c:v>
                </c:pt>
                <c:pt idx="71">
                  <c:v>43071.618402777778</c:v>
                </c:pt>
                <c:pt idx="72">
                  <c:v>43071.618715277778</c:v>
                </c:pt>
                <c:pt idx="73">
                  <c:v>43071.618796296294</c:v>
                </c:pt>
                <c:pt idx="74">
                  <c:v>43071.618969907409</c:v>
                </c:pt>
                <c:pt idx="75">
                  <c:v>43071.621192129627</c:v>
                </c:pt>
                <c:pt idx="76">
                  <c:v>43071.621504629627</c:v>
                </c:pt>
                <c:pt idx="77">
                  <c:v>43071.621840277781</c:v>
                </c:pt>
                <c:pt idx="78">
                  <c:v>43071.623981481483</c:v>
                </c:pt>
                <c:pt idx="79">
                  <c:v>43071.624293981484</c:v>
                </c:pt>
                <c:pt idx="80">
                  <c:v>43071.624374999999</c:v>
                </c:pt>
                <c:pt idx="81">
                  <c:v>43071.624722222223</c:v>
                </c:pt>
                <c:pt idx="82">
                  <c:v>43071.627083333333</c:v>
                </c:pt>
                <c:pt idx="83">
                  <c:v>43071.627164351848</c:v>
                </c:pt>
                <c:pt idx="84">
                  <c:v>43071.627592592595</c:v>
                </c:pt>
                <c:pt idx="85">
                  <c:v>43071.629560185182</c:v>
                </c:pt>
                <c:pt idx="86">
                  <c:v>43071.629872685182</c:v>
                </c:pt>
                <c:pt idx="87">
                  <c:v>43071.629953703705</c:v>
                </c:pt>
                <c:pt idx="88">
                  <c:v>43071.630474537036</c:v>
                </c:pt>
                <c:pt idx="89">
                  <c:v>43071.632662037038</c:v>
                </c:pt>
                <c:pt idx="90">
                  <c:v>43071.632743055554</c:v>
                </c:pt>
                <c:pt idx="91">
                  <c:v>43071.633344907408</c:v>
                </c:pt>
                <c:pt idx="92">
                  <c:v>43071.635138888887</c:v>
                </c:pt>
                <c:pt idx="93">
                  <c:v>43071.635451388887</c:v>
                </c:pt>
                <c:pt idx="94">
                  <c:v>43071.63553240741</c:v>
                </c:pt>
                <c:pt idx="95">
                  <c:v>43071.63622685185</c:v>
                </c:pt>
                <c:pt idx="96">
                  <c:v>43071.638240740744</c:v>
                </c:pt>
                <c:pt idx="97">
                  <c:v>43071.638321759259</c:v>
                </c:pt>
                <c:pt idx="98">
                  <c:v>43071.639097222222</c:v>
                </c:pt>
                <c:pt idx="99">
                  <c:v>43071.641030092593</c:v>
                </c:pt>
                <c:pt idx="100">
                  <c:v>43071.641597222224</c:v>
                </c:pt>
                <c:pt idx="101">
                  <c:v>43071.641979166663</c:v>
                </c:pt>
                <c:pt idx="102">
                  <c:v>43071.642013888886</c:v>
                </c:pt>
                <c:pt idx="103">
                  <c:v>43071.643819444442</c:v>
                </c:pt>
                <c:pt idx="104">
                  <c:v>43071.643900462965</c:v>
                </c:pt>
                <c:pt idx="105">
                  <c:v>43071.644803240742</c:v>
                </c:pt>
                <c:pt idx="106">
                  <c:v>43071.646608796298</c:v>
                </c:pt>
                <c:pt idx="107">
                  <c:v>43071.646689814814</c:v>
                </c:pt>
                <c:pt idx="108">
                  <c:v>43071.647592592592</c:v>
                </c:pt>
                <c:pt idx="109">
                  <c:v>43071.647731481484</c:v>
                </c:pt>
                <c:pt idx="110">
                  <c:v>43071.649398148147</c:v>
                </c:pt>
                <c:pt idx="111">
                  <c:v>43071.64947916667</c:v>
                </c:pt>
                <c:pt idx="112">
                  <c:v>43071.650381944448</c:v>
                </c:pt>
                <c:pt idx="113">
                  <c:v>43071.650601851848</c:v>
                </c:pt>
                <c:pt idx="114">
                  <c:v>43071.652187500003</c:v>
                </c:pt>
                <c:pt idx="115">
                  <c:v>43071.652268518519</c:v>
                </c:pt>
                <c:pt idx="116">
                  <c:v>43071.653483796297</c:v>
                </c:pt>
                <c:pt idx="117">
                  <c:v>43071.654976851853</c:v>
                </c:pt>
                <c:pt idx="118">
                  <c:v>43071.655057870368</c:v>
                </c:pt>
                <c:pt idx="119">
                  <c:v>43071.655960648146</c:v>
                </c:pt>
                <c:pt idx="120">
                  <c:v>43071.656365740739</c:v>
                </c:pt>
                <c:pt idx="121">
                  <c:v>43071.657766203702</c:v>
                </c:pt>
                <c:pt idx="122">
                  <c:v>43071.658750000002</c:v>
                </c:pt>
                <c:pt idx="123">
                  <c:v>43071.659236111111</c:v>
                </c:pt>
                <c:pt idx="124">
                  <c:v>43071.660555555558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43071.578194444446</c:v>
                </c:pt>
                <c:pt idx="1">
                  <c:v>43071.578692129631</c:v>
                </c:pt>
                <c:pt idx="2">
                  <c:v>43071.579664351855</c:v>
                </c:pt>
                <c:pt idx="3">
                  <c:v>43071.579745370371</c:v>
                </c:pt>
                <c:pt idx="4">
                  <c:v>43071.581574074073</c:v>
                </c:pt>
                <c:pt idx="5">
                  <c:v>43071.581793981481</c:v>
                </c:pt>
                <c:pt idx="6">
                  <c:v>43071.582453703704</c:v>
                </c:pt>
                <c:pt idx="7">
                  <c:v>43071.58253472222</c:v>
                </c:pt>
                <c:pt idx="8">
                  <c:v>43071.583055555559</c:v>
                </c:pt>
                <c:pt idx="9">
                  <c:v>43071.584456018521</c:v>
                </c:pt>
                <c:pt idx="10">
                  <c:v>43071.585081018522</c:v>
                </c:pt>
                <c:pt idx="11">
                  <c:v>43071.585243055553</c:v>
                </c:pt>
                <c:pt idx="12">
                  <c:v>43071.585324074076</c:v>
                </c:pt>
                <c:pt idx="13">
                  <c:v>43071.586099537039</c:v>
                </c:pt>
                <c:pt idx="14">
                  <c:v>43071.587118055555</c:v>
                </c:pt>
                <c:pt idx="15">
                  <c:v>43071.587326388886</c:v>
                </c:pt>
                <c:pt idx="16">
                  <c:v>43071.58803240741</c:v>
                </c:pt>
                <c:pt idx="17">
                  <c:v>43071.588113425925</c:v>
                </c:pt>
                <c:pt idx="18">
                  <c:v>43071.588136574072</c:v>
                </c:pt>
                <c:pt idx="19">
                  <c:v>43071.589166666665</c:v>
                </c:pt>
                <c:pt idx="20">
                  <c:v>43071.590196759258</c:v>
                </c:pt>
                <c:pt idx="21">
                  <c:v>43071.590208333335</c:v>
                </c:pt>
                <c:pt idx="22">
                  <c:v>43071.590821759259</c:v>
                </c:pt>
                <c:pt idx="23">
                  <c:v>43071.590902777774</c:v>
                </c:pt>
                <c:pt idx="24">
                  <c:v>43071.591226851851</c:v>
                </c:pt>
                <c:pt idx="25">
                  <c:v>43071.592256944445</c:v>
                </c:pt>
                <c:pt idx="26">
                  <c:v>43071.593078703707</c:v>
                </c:pt>
                <c:pt idx="27">
                  <c:v>43071.593275462961</c:v>
                </c:pt>
                <c:pt idx="28">
                  <c:v>43071.593611111108</c:v>
                </c:pt>
                <c:pt idx="29">
                  <c:v>43071.594305555554</c:v>
                </c:pt>
                <c:pt idx="30">
                  <c:v>43071.595335648148</c:v>
                </c:pt>
                <c:pt idx="31">
                  <c:v>43071.595960648148</c:v>
                </c:pt>
                <c:pt idx="32">
                  <c:v>43071.596354166664</c:v>
                </c:pt>
                <c:pt idx="33">
                  <c:v>43071.596400462964</c:v>
                </c:pt>
                <c:pt idx="34">
                  <c:v>43071.59648148148</c:v>
                </c:pt>
                <c:pt idx="35">
                  <c:v>43071.597372685188</c:v>
                </c:pt>
                <c:pt idx="36">
                  <c:v>43071.59883101852</c:v>
                </c:pt>
                <c:pt idx="37">
                  <c:v>43071.599189814813</c:v>
                </c:pt>
                <c:pt idx="38">
                  <c:v>43071.599270833336</c:v>
                </c:pt>
                <c:pt idx="39">
                  <c:v>43071.601712962962</c:v>
                </c:pt>
                <c:pt idx="40">
                  <c:v>43071.601979166669</c:v>
                </c:pt>
                <c:pt idx="41">
                  <c:v>43071.602060185185</c:v>
                </c:pt>
                <c:pt idx="42">
                  <c:v>43071.602442129632</c:v>
                </c:pt>
                <c:pt idx="43">
                  <c:v>43071.603460648148</c:v>
                </c:pt>
                <c:pt idx="44">
                  <c:v>43071.604490740741</c:v>
                </c:pt>
                <c:pt idx="45">
                  <c:v>43071.604583333334</c:v>
                </c:pt>
                <c:pt idx="46">
                  <c:v>43071.604768518519</c:v>
                </c:pt>
                <c:pt idx="47">
                  <c:v>43071.604849537034</c:v>
                </c:pt>
                <c:pt idx="48">
                  <c:v>43071.605509259258</c:v>
                </c:pt>
                <c:pt idx="49">
                  <c:v>43071.606527777774</c:v>
                </c:pt>
                <c:pt idx="50">
                  <c:v>43071.607465277775</c:v>
                </c:pt>
                <c:pt idx="51">
                  <c:v>43071.607557870368</c:v>
                </c:pt>
                <c:pt idx="52">
                  <c:v>43071.607557870368</c:v>
                </c:pt>
                <c:pt idx="53">
                  <c:v>43071.607638888891</c:v>
                </c:pt>
                <c:pt idx="54">
                  <c:v>43071.608564814815</c:v>
                </c:pt>
                <c:pt idx="55">
                  <c:v>43071.609583333331</c:v>
                </c:pt>
                <c:pt idx="56">
                  <c:v>43071.610335648147</c:v>
                </c:pt>
                <c:pt idx="57">
                  <c:v>43071.610347222224</c:v>
                </c:pt>
                <c:pt idx="58">
                  <c:v>43071.61042824074</c:v>
                </c:pt>
                <c:pt idx="59">
                  <c:v>43071.610601851855</c:v>
                </c:pt>
                <c:pt idx="60">
                  <c:v>43071.611620370371</c:v>
                </c:pt>
                <c:pt idx="61">
                  <c:v>43071.612650462965</c:v>
                </c:pt>
                <c:pt idx="62">
                  <c:v>43071.613136574073</c:v>
                </c:pt>
                <c:pt idx="63">
                  <c:v>43071.613217592596</c:v>
                </c:pt>
                <c:pt idx="64">
                  <c:v>43071.613217592596</c:v>
                </c:pt>
                <c:pt idx="65">
                  <c:v>43071.614675925928</c:v>
                </c:pt>
                <c:pt idx="66">
                  <c:v>43071.615127314813</c:v>
                </c:pt>
                <c:pt idx="67">
                  <c:v>43071.615613425929</c:v>
                </c:pt>
                <c:pt idx="68">
                  <c:v>43071.615925925929</c:v>
                </c:pt>
                <c:pt idx="69">
                  <c:v>43071.616006944445</c:v>
                </c:pt>
                <c:pt idx="70">
                  <c:v>43071.616087962961</c:v>
                </c:pt>
                <c:pt idx="71">
                  <c:v>43071.618402777778</c:v>
                </c:pt>
                <c:pt idx="72">
                  <c:v>43071.618715277778</c:v>
                </c:pt>
                <c:pt idx="73">
                  <c:v>43071.618796296294</c:v>
                </c:pt>
                <c:pt idx="74">
                  <c:v>43071.618969907409</c:v>
                </c:pt>
                <c:pt idx="75">
                  <c:v>43071.621192129627</c:v>
                </c:pt>
                <c:pt idx="76">
                  <c:v>43071.621504629627</c:v>
                </c:pt>
                <c:pt idx="77">
                  <c:v>43071.621840277781</c:v>
                </c:pt>
                <c:pt idx="78">
                  <c:v>43071.623981481483</c:v>
                </c:pt>
                <c:pt idx="79">
                  <c:v>43071.624293981484</c:v>
                </c:pt>
                <c:pt idx="80">
                  <c:v>43071.624374999999</c:v>
                </c:pt>
                <c:pt idx="81">
                  <c:v>43071.624722222223</c:v>
                </c:pt>
                <c:pt idx="82">
                  <c:v>43071.627083333333</c:v>
                </c:pt>
                <c:pt idx="83">
                  <c:v>43071.627164351848</c:v>
                </c:pt>
                <c:pt idx="84">
                  <c:v>43071.627592592595</c:v>
                </c:pt>
                <c:pt idx="85">
                  <c:v>43071.629560185182</c:v>
                </c:pt>
                <c:pt idx="86">
                  <c:v>43071.629872685182</c:v>
                </c:pt>
                <c:pt idx="87">
                  <c:v>43071.629953703705</c:v>
                </c:pt>
                <c:pt idx="88">
                  <c:v>43071.630474537036</c:v>
                </c:pt>
                <c:pt idx="89">
                  <c:v>43071.632662037038</c:v>
                </c:pt>
                <c:pt idx="90">
                  <c:v>43071.632743055554</c:v>
                </c:pt>
                <c:pt idx="91">
                  <c:v>43071.633344907408</c:v>
                </c:pt>
                <c:pt idx="92">
                  <c:v>43071.635138888887</c:v>
                </c:pt>
                <c:pt idx="93">
                  <c:v>43071.635451388887</c:v>
                </c:pt>
                <c:pt idx="94">
                  <c:v>43071.63553240741</c:v>
                </c:pt>
                <c:pt idx="95">
                  <c:v>43071.63622685185</c:v>
                </c:pt>
                <c:pt idx="96">
                  <c:v>43071.638240740744</c:v>
                </c:pt>
                <c:pt idx="97">
                  <c:v>43071.638321759259</c:v>
                </c:pt>
                <c:pt idx="98">
                  <c:v>43071.639097222222</c:v>
                </c:pt>
                <c:pt idx="99">
                  <c:v>43071.641030092593</c:v>
                </c:pt>
                <c:pt idx="100">
                  <c:v>43071.641597222224</c:v>
                </c:pt>
                <c:pt idx="101">
                  <c:v>43071.641979166663</c:v>
                </c:pt>
                <c:pt idx="102">
                  <c:v>43071.642013888886</c:v>
                </c:pt>
                <c:pt idx="103">
                  <c:v>43071.643819444442</c:v>
                </c:pt>
                <c:pt idx="104">
                  <c:v>43071.643900462965</c:v>
                </c:pt>
                <c:pt idx="105">
                  <c:v>43071.644803240742</c:v>
                </c:pt>
                <c:pt idx="106">
                  <c:v>43071.646608796298</c:v>
                </c:pt>
                <c:pt idx="107">
                  <c:v>43071.646689814814</c:v>
                </c:pt>
                <c:pt idx="108">
                  <c:v>43071.647592592592</c:v>
                </c:pt>
                <c:pt idx="109">
                  <c:v>43071.647731481484</c:v>
                </c:pt>
                <c:pt idx="110">
                  <c:v>43071.649398148147</c:v>
                </c:pt>
                <c:pt idx="111">
                  <c:v>43071.64947916667</c:v>
                </c:pt>
                <c:pt idx="112">
                  <c:v>43071.650381944448</c:v>
                </c:pt>
                <c:pt idx="113">
                  <c:v>43071.650601851848</c:v>
                </c:pt>
                <c:pt idx="114">
                  <c:v>43071.652187500003</c:v>
                </c:pt>
                <c:pt idx="115">
                  <c:v>43071.652268518519</c:v>
                </c:pt>
                <c:pt idx="116">
                  <c:v>43071.653483796297</c:v>
                </c:pt>
                <c:pt idx="117">
                  <c:v>43071.654976851853</c:v>
                </c:pt>
                <c:pt idx="118">
                  <c:v>43071.655057870368</c:v>
                </c:pt>
                <c:pt idx="119">
                  <c:v>43071.655960648146</c:v>
                </c:pt>
                <c:pt idx="120">
                  <c:v>43071.656365740739</c:v>
                </c:pt>
                <c:pt idx="121">
                  <c:v>43071.657766203702</c:v>
                </c:pt>
                <c:pt idx="122">
                  <c:v>43071.658750000002</c:v>
                </c:pt>
                <c:pt idx="123">
                  <c:v>43071.659236111111</c:v>
                </c:pt>
                <c:pt idx="124">
                  <c:v>43071.660555555558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0.00E+00</c:formatCode>
                <c:ptCount val="9998"/>
                <c:pt idx="0" formatCode="General">
                  <c:v>52.638381876849003</c:v>
                </c:pt>
                <c:pt idx="1">
                  <c:v>-5.36441834242396E-6</c:v>
                </c:pt>
                <c:pt idx="2" formatCode="General">
                  <c:v>52.638456978705896</c:v>
                </c:pt>
                <c:pt idx="3" formatCode="General">
                  <c:v>52.638403334522401</c:v>
                </c:pt>
                <c:pt idx="4">
                  <c:v>-5.36441834242396E-6</c:v>
                </c:pt>
                <c:pt idx="5" formatCode="General">
                  <c:v>52.638371148012297</c:v>
                </c:pt>
                <c:pt idx="6" formatCode="General">
                  <c:v>52.638403334522401</c:v>
                </c:pt>
                <c:pt idx="7" formatCode="General">
                  <c:v>52.638446249869197</c:v>
                </c:pt>
                <c:pt idx="8" formatCode="General">
                  <c:v>52.638381876849003</c:v>
                </c:pt>
                <c:pt idx="9">
                  <c:v>-5.36441834242396E-6</c:v>
                </c:pt>
                <c:pt idx="10" formatCode="General">
                  <c:v>52.638435521032498</c:v>
                </c:pt>
                <c:pt idx="11" formatCode="General">
                  <c:v>52.638231673135202</c:v>
                </c:pt>
                <c:pt idx="12" formatCode="General">
                  <c:v>52.638489165216001</c:v>
                </c:pt>
                <c:pt idx="13" formatCode="General">
                  <c:v>52.638220944298503</c:v>
                </c:pt>
                <c:pt idx="14" formatCode="General">
                  <c:v>52.638381876849003</c:v>
                </c:pt>
                <c:pt idx="15">
                  <c:v>-5.36441834242396E-6</c:v>
                </c:pt>
                <c:pt idx="16" formatCode="General">
                  <c:v>52.638231673135202</c:v>
                </c:pt>
                <c:pt idx="17" formatCode="General">
                  <c:v>52.638424792195799</c:v>
                </c:pt>
                <c:pt idx="18" formatCode="General">
                  <c:v>52.637695231300299</c:v>
                </c:pt>
                <c:pt idx="19" formatCode="General">
                  <c:v>52.637308993179097</c:v>
                </c:pt>
                <c:pt idx="20" formatCode="General">
                  <c:v>52.636493601589997</c:v>
                </c:pt>
                <c:pt idx="21">
                  <c:v>-5.36441834242396E-6</c:v>
                </c:pt>
                <c:pt idx="22" formatCode="General">
                  <c:v>52.638167300115001</c:v>
                </c:pt>
                <c:pt idx="23" formatCode="General">
                  <c:v>52.638349690338899</c:v>
                </c:pt>
                <c:pt idx="24" formatCode="General">
                  <c:v>52.635785498367802</c:v>
                </c:pt>
                <c:pt idx="25" formatCode="General">
                  <c:v>52.635774769531103</c:v>
                </c:pt>
                <c:pt idx="26">
                  <c:v>-5.36441834242396E-6</c:v>
                </c:pt>
                <c:pt idx="27" formatCode="General">
                  <c:v>52.635206141186103</c:v>
                </c:pt>
                <c:pt idx="28" formatCode="General">
                  <c:v>52.638231673135202</c:v>
                </c:pt>
                <c:pt idx="29" formatCode="General">
                  <c:v>52.634079613332702</c:v>
                </c:pt>
                <c:pt idx="30" formatCode="General">
                  <c:v>52.633081831519704</c:v>
                </c:pt>
                <c:pt idx="31">
                  <c:v>-5.36441834242396E-6</c:v>
                </c:pt>
                <c:pt idx="32" formatCode="General">
                  <c:v>52.632330812950698</c:v>
                </c:pt>
                <c:pt idx="33" formatCode="General">
                  <c:v>52.638135113604903</c:v>
                </c:pt>
                <c:pt idx="34" formatCode="General">
                  <c:v>52.638113655931498</c:v>
                </c:pt>
                <c:pt idx="35" formatCode="General">
                  <c:v>52.631794371115802</c:v>
                </c:pt>
                <c:pt idx="36">
                  <c:v>-5.36441834242396E-6</c:v>
                </c:pt>
                <c:pt idx="37" formatCode="General">
                  <c:v>52.638102927094799</c:v>
                </c:pt>
                <c:pt idx="38" formatCode="General">
                  <c:v>52.6380921982581</c:v>
                </c:pt>
                <c:pt idx="39">
                  <c:v>-5.36441834242396E-6</c:v>
                </c:pt>
                <c:pt idx="40" formatCode="General">
                  <c:v>52.638306774992103</c:v>
                </c:pt>
                <c:pt idx="41" formatCode="General">
                  <c:v>52.638306774992103</c:v>
                </c:pt>
                <c:pt idx="42" formatCode="General">
                  <c:v>52.630260147467801</c:v>
                </c:pt>
                <c:pt idx="43" formatCode="General">
                  <c:v>52.631150640913802</c:v>
                </c:pt>
                <c:pt idx="44" formatCode="General">
                  <c:v>52.632030405523203</c:v>
                </c:pt>
                <c:pt idx="45">
                  <c:v>-5.36441834242396E-6</c:v>
                </c:pt>
                <c:pt idx="46" formatCode="General">
                  <c:v>52.638102927094799</c:v>
                </c:pt>
                <c:pt idx="47" formatCode="General">
                  <c:v>52.638349690338899</c:v>
                </c:pt>
                <c:pt idx="48" formatCode="General">
                  <c:v>52.6328779836224</c:v>
                </c:pt>
                <c:pt idx="49" formatCode="General">
                  <c:v>52.633339323600403</c:v>
                </c:pt>
                <c:pt idx="50">
                  <c:v>-5.36441834242396E-6</c:v>
                </c:pt>
                <c:pt idx="51" formatCode="General">
                  <c:v>52.634186901699699</c:v>
                </c:pt>
                <c:pt idx="52" formatCode="General">
                  <c:v>52.638038554074598</c:v>
                </c:pt>
                <c:pt idx="53" formatCode="General">
                  <c:v>52.6381780289517</c:v>
                </c:pt>
                <c:pt idx="54" formatCode="General">
                  <c:v>52.635088123982399</c:v>
                </c:pt>
                <c:pt idx="55" formatCode="General">
                  <c:v>52.636193194162402</c:v>
                </c:pt>
                <c:pt idx="56">
                  <c:v>-5.36441834242396E-6</c:v>
                </c:pt>
                <c:pt idx="57" formatCode="General">
                  <c:v>52.638242401971901</c:v>
                </c:pt>
                <c:pt idx="58" formatCode="General">
                  <c:v>52.638639368929802</c:v>
                </c:pt>
                <c:pt idx="59" formatCode="General">
                  <c:v>52.637180247138701</c:v>
                </c:pt>
                <c:pt idx="60" formatCode="General">
                  <c:v>52.637738146647102</c:v>
                </c:pt>
                <c:pt idx="61" formatCode="General">
                  <c:v>52.638424792195799</c:v>
                </c:pt>
                <c:pt idx="62" formatCode="General">
                  <c:v>52.638263859645299</c:v>
                </c:pt>
                <c:pt idx="63">
                  <c:v>-5.36441834242396E-6</c:v>
                </c:pt>
                <c:pt idx="64" formatCode="General">
                  <c:v>52.6382531308086</c:v>
                </c:pt>
                <c:pt idx="65" formatCode="General">
                  <c:v>52.638446249869197</c:v>
                </c:pt>
                <c:pt idx="66" formatCode="General">
                  <c:v>52.638446249869197</c:v>
                </c:pt>
                <c:pt idx="67" formatCode="General">
                  <c:v>52.638220944298503</c:v>
                </c:pt>
                <c:pt idx="68" formatCode="General">
                  <c:v>52.638392605685702</c:v>
                </c:pt>
                <c:pt idx="69" formatCode="General">
                  <c:v>52.638360419175598</c:v>
                </c:pt>
                <c:pt idx="70">
                  <c:v>-5.36441834242396E-6</c:v>
                </c:pt>
                <c:pt idx="71" formatCode="General">
                  <c:v>52.638435521032498</c:v>
                </c:pt>
                <c:pt idx="72" formatCode="General">
                  <c:v>52.638360419175598</c:v>
                </c:pt>
                <c:pt idx="73" formatCode="General">
                  <c:v>52.638489165216001</c:v>
                </c:pt>
                <c:pt idx="74">
                  <c:v>-5.36441834242396E-6</c:v>
                </c:pt>
                <c:pt idx="75" formatCode="General">
                  <c:v>52.638360419175598</c:v>
                </c:pt>
                <c:pt idx="76" formatCode="General">
                  <c:v>52.638424792195799</c:v>
                </c:pt>
                <c:pt idx="77">
                  <c:v>-5.36441834242396E-6</c:v>
                </c:pt>
                <c:pt idx="78" formatCode="General">
                  <c:v>52.638167300115001</c:v>
                </c:pt>
                <c:pt idx="79" formatCode="General">
                  <c:v>52.638446249869197</c:v>
                </c:pt>
                <c:pt idx="80" formatCode="General">
                  <c:v>52.638510622889399</c:v>
                </c:pt>
                <c:pt idx="81">
                  <c:v>-5.36441834242396E-6</c:v>
                </c:pt>
                <c:pt idx="82" formatCode="General">
                  <c:v>52.638532080562797</c:v>
                </c:pt>
                <c:pt idx="83" formatCode="General">
                  <c:v>52.638403334522401</c:v>
                </c:pt>
                <c:pt idx="84">
                  <c:v>-5.36441834242396E-6</c:v>
                </c:pt>
                <c:pt idx="85" formatCode="General">
                  <c:v>52.638199486625098</c:v>
                </c:pt>
                <c:pt idx="86" formatCode="General">
                  <c:v>52.638456978705896</c:v>
                </c:pt>
                <c:pt idx="87" formatCode="General">
                  <c:v>52.638242401971901</c:v>
                </c:pt>
                <c:pt idx="88">
                  <c:v>-5.36441834242396E-6</c:v>
                </c:pt>
                <c:pt idx="89" formatCode="General">
                  <c:v>52.638403334522401</c:v>
                </c:pt>
                <c:pt idx="90" formatCode="General">
                  <c:v>52.638510622889399</c:v>
                </c:pt>
                <c:pt idx="91">
                  <c:v>-5.36441834242396E-6</c:v>
                </c:pt>
                <c:pt idx="92" formatCode="General">
                  <c:v>52.638489165216001</c:v>
                </c:pt>
                <c:pt idx="93" formatCode="General">
                  <c:v>52.6384998940527</c:v>
                </c:pt>
                <c:pt idx="94" formatCode="General">
                  <c:v>52.638585724746299</c:v>
                </c:pt>
                <c:pt idx="95">
                  <c:v>-5.36441834242396E-6</c:v>
                </c:pt>
                <c:pt idx="96" formatCode="General">
                  <c:v>52.638371148012297</c:v>
                </c:pt>
                <c:pt idx="97" formatCode="General">
                  <c:v>52.6384998940527</c:v>
                </c:pt>
                <c:pt idx="98">
                  <c:v>-5.36441834242396E-6</c:v>
                </c:pt>
                <c:pt idx="99" formatCode="General">
                  <c:v>52.638456978705896</c:v>
                </c:pt>
                <c:pt idx="100" formatCode="General">
                  <c:v>52.638371148012297</c:v>
                </c:pt>
                <c:pt idx="101">
                  <c:v>-5.36441834242396E-6</c:v>
                </c:pt>
                <c:pt idx="102" formatCode="General">
                  <c:v>52.638392605685702</c:v>
                </c:pt>
                <c:pt idx="103" formatCode="General">
                  <c:v>52.6384998940527</c:v>
                </c:pt>
                <c:pt idx="104" formatCode="General">
                  <c:v>52.638446249869197</c:v>
                </c:pt>
                <c:pt idx="105" formatCode="General">
                  <c:v>52.638424792195799</c:v>
                </c:pt>
                <c:pt idx="106" formatCode="General">
                  <c:v>52.638392605685702</c:v>
                </c:pt>
                <c:pt idx="107" formatCode="General">
                  <c:v>52.638070740584702</c:v>
                </c:pt>
                <c:pt idx="108" formatCode="General">
                  <c:v>52.638403334522401</c:v>
                </c:pt>
                <c:pt idx="109">
                  <c:v>-5.36441834242396E-6</c:v>
                </c:pt>
                <c:pt idx="110" formatCode="General">
                  <c:v>52.638456978705896</c:v>
                </c:pt>
                <c:pt idx="111" formatCode="General">
                  <c:v>52.638435521032498</c:v>
                </c:pt>
                <c:pt idx="112" formatCode="General">
                  <c:v>52.638381876849003</c:v>
                </c:pt>
                <c:pt idx="113">
                  <c:v>-5.36441834242396E-6</c:v>
                </c:pt>
                <c:pt idx="114" formatCode="General">
                  <c:v>52.638456978705896</c:v>
                </c:pt>
                <c:pt idx="115" formatCode="General">
                  <c:v>52.638467707542603</c:v>
                </c:pt>
                <c:pt idx="116">
                  <c:v>-5.36441834242396E-6</c:v>
                </c:pt>
                <c:pt idx="117" formatCode="General">
                  <c:v>52.638349690338899</c:v>
                </c:pt>
                <c:pt idx="118" formatCode="General">
                  <c:v>52.638403334522401</c:v>
                </c:pt>
                <c:pt idx="119" formatCode="General">
                  <c:v>52.638403334522401</c:v>
                </c:pt>
                <c:pt idx="120">
                  <c:v>-5.36441834242396E-6</c:v>
                </c:pt>
                <c:pt idx="121" formatCode="General">
                  <c:v>52.638532080562797</c:v>
                </c:pt>
                <c:pt idx="122" formatCode="General">
                  <c:v>52.638371148012297</c:v>
                </c:pt>
                <c:pt idx="123">
                  <c:v>-5.36441834242396E-6</c:v>
                </c:pt>
                <c:pt idx="124" formatCode="General">
                  <c:v>52.638435521032498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0000"/>
        <c:axId val="-14746357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prevHdop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 formatCode="General">
                        <c:v>52.638435521032498</c:v>
                      </c:pt>
                      <c:pt idx="1">
                        <c:v>-5.36441834242396E-6</c:v>
                      </c:pt>
                      <c:pt idx="2" formatCode="General">
                        <c:v>52.638392605685702</c:v>
                      </c:pt>
                      <c:pt idx="3" formatCode="General">
                        <c:v>52.638564267072901</c:v>
                      </c:pt>
                      <c:pt idx="4">
                        <c:v>-5.36441834242396E-6</c:v>
                      </c:pt>
                      <c:pt idx="5" formatCode="General">
                        <c:v>-90</c:v>
                      </c:pt>
                      <c:pt idx="6" formatCode="General">
                        <c:v>52.638456978705896</c:v>
                      </c:pt>
                      <c:pt idx="7" formatCode="General">
                        <c:v>52.638403334522401</c:v>
                      </c:pt>
                      <c:pt idx="8" formatCode="General">
                        <c:v>52.638371148012297</c:v>
                      </c:pt>
                      <c:pt idx="9">
                        <c:v>-5.36441834242396E-6</c:v>
                      </c:pt>
                      <c:pt idx="10" formatCode="General">
                        <c:v>52.638381876849003</c:v>
                      </c:pt>
                      <c:pt idx="11" formatCode="General">
                        <c:v>52.638403334522401</c:v>
                      </c:pt>
                      <c:pt idx="12" formatCode="General">
                        <c:v>52.638446249869197</c:v>
                      </c:pt>
                      <c:pt idx="13" formatCode="General">
                        <c:v>52.638435521032498</c:v>
                      </c:pt>
                      <c:pt idx="14" formatCode="General">
                        <c:v>52.638220944298503</c:v>
                      </c:pt>
                      <c:pt idx="15">
                        <c:v>-5.36441834242396E-6</c:v>
                      </c:pt>
                      <c:pt idx="16" formatCode="General">
                        <c:v>52.638231673135202</c:v>
                      </c:pt>
                      <c:pt idx="17" formatCode="General">
                        <c:v>52.638489165216001</c:v>
                      </c:pt>
                      <c:pt idx="18" formatCode="General">
                        <c:v>52.638381876849003</c:v>
                      </c:pt>
                      <c:pt idx="19" formatCode="General">
                        <c:v>52.637695231300299</c:v>
                      </c:pt>
                      <c:pt idx="20" formatCode="General">
                        <c:v>52.637308993179097</c:v>
                      </c:pt>
                      <c:pt idx="21">
                        <c:v>-5.36441834242396E-6</c:v>
                      </c:pt>
                      <c:pt idx="22" formatCode="General">
                        <c:v>52.638231673135202</c:v>
                      </c:pt>
                      <c:pt idx="23" formatCode="General">
                        <c:v>52.638424792195799</c:v>
                      </c:pt>
                      <c:pt idx="24" formatCode="General">
                        <c:v>52.636493601589997</c:v>
                      </c:pt>
                      <c:pt idx="25" formatCode="General">
                        <c:v>52.635785498367802</c:v>
                      </c:pt>
                      <c:pt idx="26">
                        <c:v>-5.36441834242396E-6</c:v>
                      </c:pt>
                      <c:pt idx="27" formatCode="General">
                        <c:v>52.635774769531103</c:v>
                      </c:pt>
                      <c:pt idx="28" formatCode="General">
                        <c:v>52.638167300115001</c:v>
                      </c:pt>
                      <c:pt idx="29" formatCode="General">
                        <c:v>52.635206141186103</c:v>
                      </c:pt>
                      <c:pt idx="30" formatCode="General">
                        <c:v>52.634079613332702</c:v>
                      </c:pt>
                      <c:pt idx="31">
                        <c:v>-5.36441834242396E-6</c:v>
                      </c:pt>
                      <c:pt idx="32" formatCode="General">
                        <c:v>52.633081831519704</c:v>
                      </c:pt>
                      <c:pt idx="33" formatCode="General">
                        <c:v>52.638231673135202</c:v>
                      </c:pt>
                      <c:pt idx="34" formatCode="General">
                        <c:v>52.638381876849003</c:v>
                      </c:pt>
                      <c:pt idx="35" formatCode="General">
                        <c:v>52.632330812950698</c:v>
                      </c:pt>
                      <c:pt idx="36">
                        <c:v>-5.36441834242396E-6</c:v>
                      </c:pt>
                      <c:pt idx="37" formatCode="General">
                        <c:v>52.638135113604903</c:v>
                      </c:pt>
                      <c:pt idx="38" formatCode="General">
                        <c:v>52.638113655931498</c:v>
                      </c:pt>
                      <c:pt idx="39">
                        <c:v>-5.36441834242396E-6</c:v>
                      </c:pt>
                      <c:pt idx="40" formatCode="General">
                        <c:v>52.638102927094799</c:v>
                      </c:pt>
                      <c:pt idx="41" formatCode="General">
                        <c:v>52.6380921982581</c:v>
                      </c:pt>
                      <c:pt idx="42" formatCode="General">
                        <c:v>52.629487671225498</c:v>
                      </c:pt>
                      <c:pt idx="43" formatCode="General">
                        <c:v>52.630260147467801</c:v>
                      </c:pt>
                      <c:pt idx="44" formatCode="General">
                        <c:v>52.631150640913802</c:v>
                      </c:pt>
                      <c:pt idx="45">
                        <c:v>-5.36441834242396E-6</c:v>
                      </c:pt>
                      <c:pt idx="46" formatCode="General">
                        <c:v>52.638306774992103</c:v>
                      </c:pt>
                      <c:pt idx="47" formatCode="General">
                        <c:v>52.638306774992103</c:v>
                      </c:pt>
                      <c:pt idx="48" formatCode="General">
                        <c:v>52.632030405523203</c:v>
                      </c:pt>
                      <c:pt idx="49" formatCode="General">
                        <c:v>52.6328779836224</c:v>
                      </c:pt>
                      <c:pt idx="50">
                        <c:v>-5.36441834242396E-6</c:v>
                      </c:pt>
                      <c:pt idx="51" formatCode="General">
                        <c:v>52.633339323600403</c:v>
                      </c:pt>
                      <c:pt idx="52" formatCode="General">
                        <c:v>52.638102927094799</c:v>
                      </c:pt>
                      <c:pt idx="53" formatCode="General">
                        <c:v>52.638349690338899</c:v>
                      </c:pt>
                      <c:pt idx="54" formatCode="General">
                        <c:v>52.634186901699699</c:v>
                      </c:pt>
                      <c:pt idx="55" formatCode="General">
                        <c:v>52.635088123982399</c:v>
                      </c:pt>
                      <c:pt idx="56">
                        <c:v>-5.36441834242396E-6</c:v>
                      </c:pt>
                      <c:pt idx="57" formatCode="General">
                        <c:v>52.638038554074598</c:v>
                      </c:pt>
                      <c:pt idx="58" formatCode="General">
                        <c:v>52.6381780289517</c:v>
                      </c:pt>
                      <c:pt idx="59" formatCode="General">
                        <c:v>52.636193194162402</c:v>
                      </c:pt>
                      <c:pt idx="60" formatCode="General">
                        <c:v>52.637180247138701</c:v>
                      </c:pt>
                      <c:pt idx="61" formatCode="General">
                        <c:v>52.637738146647102</c:v>
                      </c:pt>
                      <c:pt idx="62" formatCode="General">
                        <c:v>52.638242401971901</c:v>
                      </c:pt>
                      <c:pt idx="63">
                        <c:v>-5.36441834242396E-6</c:v>
                      </c:pt>
                      <c:pt idx="64" formatCode="General">
                        <c:v>52.638639368929802</c:v>
                      </c:pt>
                      <c:pt idx="65" formatCode="General">
                        <c:v>52.6384998940527</c:v>
                      </c:pt>
                      <c:pt idx="66" formatCode="General">
                        <c:v>52.638446249869197</c:v>
                      </c:pt>
                      <c:pt idx="67" formatCode="General">
                        <c:v>-90</c:v>
                      </c:pt>
                      <c:pt idx="68" formatCode="General">
                        <c:v>52.638263859645299</c:v>
                      </c:pt>
                      <c:pt idx="69" formatCode="General">
                        <c:v>52.6382531308086</c:v>
                      </c:pt>
                      <c:pt idx="70">
                        <c:v>-5.36441834242396E-6</c:v>
                      </c:pt>
                      <c:pt idx="71" formatCode="General">
                        <c:v>52.638220944298503</c:v>
                      </c:pt>
                      <c:pt idx="72" formatCode="General">
                        <c:v>52.638392605685702</c:v>
                      </c:pt>
                      <c:pt idx="73" formatCode="General">
                        <c:v>52.638360419175598</c:v>
                      </c:pt>
                      <c:pt idx="74">
                        <c:v>-5.36441834242396E-6</c:v>
                      </c:pt>
                      <c:pt idx="75" formatCode="General">
                        <c:v>52.638435521032498</c:v>
                      </c:pt>
                      <c:pt idx="76" formatCode="General">
                        <c:v>52.638360419175598</c:v>
                      </c:pt>
                      <c:pt idx="77">
                        <c:v>-5.36441834242396E-6</c:v>
                      </c:pt>
                      <c:pt idx="78" formatCode="General">
                        <c:v>52.638360419175598</c:v>
                      </c:pt>
                      <c:pt idx="79" formatCode="General">
                        <c:v>52.638424792195799</c:v>
                      </c:pt>
                      <c:pt idx="80" formatCode="General">
                        <c:v>52.638456978705896</c:v>
                      </c:pt>
                      <c:pt idx="81">
                        <c:v>-5.36441834242396E-6</c:v>
                      </c:pt>
                      <c:pt idx="82" formatCode="General">
                        <c:v>52.638446249869197</c:v>
                      </c:pt>
                      <c:pt idx="83" formatCode="General">
                        <c:v>52.638510622889399</c:v>
                      </c:pt>
                      <c:pt idx="84">
                        <c:v>-5.36441834242396E-6</c:v>
                      </c:pt>
                      <c:pt idx="85" formatCode="General">
                        <c:v>52.638156571278301</c:v>
                      </c:pt>
                      <c:pt idx="86" formatCode="General">
                        <c:v>52.638532080562797</c:v>
                      </c:pt>
                      <c:pt idx="87" formatCode="General">
                        <c:v>52.638403334522401</c:v>
                      </c:pt>
                      <c:pt idx="88">
                        <c:v>-5.36441834242396E-6</c:v>
                      </c:pt>
                      <c:pt idx="89" formatCode="General">
                        <c:v>52.638456978705896</c:v>
                      </c:pt>
                      <c:pt idx="90" formatCode="General">
                        <c:v>52.638242401971901</c:v>
                      </c:pt>
                      <c:pt idx="91">
                        <c:v>-5.36441834242396E-6</c:v>
                      </c:pt>
                      <c:pt idx="92" formatCode="General">
                        <c:v>52.638403334522401</c:v>
                      </c:pt>
                      <c:pt idx="93" formatCode="General">
                        <c:v>52.638403334522401</c:v>
                      </c:pt>
                      <c:pt idx="94" formatCode="General">
                        <c:v>52.638510622889399</c:v>
                      </c:pt>
                      <c:pt idx="95">
                        <c:v>-5.36441834242396E-6</c:v>
                      </c:pt>
                      <c:pt idx="96" formatCode="General">
                        <c:v>52.6384998940527</c:v>
                      </c:pt>
                      <c:pt idx="97" formatCode="General">
                        <c:v>52.638585724746299</c:v>
                      </c:pt>
                      <c:pt idx="98">
                        <c:v>-5.36441834242396E-6</c:v>
                      </c:pt>
                      <c:pt idx="99" formatCode="General">
                        <c:v>52.638371148012297</c:v>
                      </c:pt>
                      <c:pt idx="100" formatCode="General">
                        <c:v>-90</c:v>
                      </c:pt>
                      <c:pt idx="101">
                        <c:v>-5.36441834242396E-6</c:v>
                      </c:pt>
                      <c:pt idx="102" formatCode="General">
                        <c:v>-90</c:v>
                      </c:pt>
                      <c:pt idx="103" formatCode="General">
                        <c:v>52.638456978705896</c:v>
                      </c:pt>
                      <c:pt idx="104" formatCode="General">
                        <c:v>52.6386608266032</c:v>
                      </c:pt>
                      <c:pt idx="105" formatCode="General">
                        <c:v>52.638392605685702</c:v>
                      </c:pt>
                      <c:pt idx="106" formatCode="General">
                        <c:v>52.6384998940527</c:v>
                      </c:pt>
                      <c:pt idx="107" formatCode="General">
                        <c:v>52.638446249869197</c:v>
                      </c:pt>
                      <c:pt idx="108" formatCode="General">
                        <c:v>52.638424792195799</c:v>
                      </c:pt>
                      <c:pt idx="109">
                        <c:v>-5.36441834242396E-6</c:v>
                      </c:pt>
                      <c:pt idx="110" formatCode="General">
                        <c:v>52.638392605685702</c:v>
                      </c:pt>
                      <c:pt idx="111" formatCode="General">
                        <c:v>52.638070740584702</c:v>
                      </c:pt>
                      <c:pt idx="112" formatCode="General">
                        <c:v>52.638403334522401</c:v>
                      </c:pt>
                      <c:pt idx="113">
                        <c:v>-5.36441834242396E-6</c:v>
                      </c:pt>
                      <c:pt idx="114" formatCode="General">
                        <c:v>52.638456978705896</c:v>
                      </c:pt>
                      <c:pt idx="115" formatCode="General">
                        <c:v>52.638435521032498</c:v>
                      </c:pt>
                      <c:pt idx="116">
                        <c:v>-5.36441834242396E-6</c:v>
                      </c:pt>
                      <c:pt idx="117" formatCode="General">
                        <c:v>52.638456978705896</c:v>
                      </c:pt>
                      <c:pt idx="118" formatCode="General">
                        <c:v>52.638467707542603</c:v>
                      </c:pt>
                      <c:pt idx="119" formatCode="General">
                        <c:v>52.638328232665501</c:v>
                      </c:pt>
                      <c:pt idx="120">
                        <c:v>-5.36441834242396E-6</c:v>
                      </c:pt>
                      <c:pt idx="121" formatCode="General">
                        <c:v>52.638349690338899</c:v>
                      </c:pt>
                      <c:pt idx="122" formatCode="General">
                        <c:v>52.638403334522401</c:v>
                      </c:pt>
                      <c:pt idx="123">
                        <c:v>-5.36441834242396E-6</c:v>
                      </c:pt>
                      <c:pt idx="124" formatCode="General">
                        <c:v>52.638532080562797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 formatCode="General">
                        <c:v>4.7497525662035898</c:v>
                      </c:pt>
                      <c:pt idx="1">
                        <c:v>-1.07288366848479E-5</c:v>
                      </c:pt>
                      <c:pt idx="2" formatCode="General">
                        <c:v>4.7497525662035898</c:v>
                      </c:pt>
                      <c:pt idx="3" formatCode="General">
                        <c:v>4.7495379894696104</c:v>
                      </c:pt>
                      <c:pt idx="4">
                        <c:v>-1.07288366848479E-5</c:v>
                      </c:pt>
                      <c:pt idx="5" formatCode="General">
                        <c:v>-180</c:v>
                      </c:pt>
                      <c:pt idx="6" formatCode="General">
                        <c:v>4.7496238201632002</c:v>
                      </c:pt>
                      <c:pt idx="7" formatCode="General">
                        <c:v>4.7497525662035898</c:v>
                      </c:pt>
                      <c:pt idx="8" formatCode="General">
                        <c:v>4.7498169392238196</c:v>
                      </c:pt>
                      <c:pt idx="9">
                        <c:v>-1.07288366848479E-5</c:v>
                      </c:pt>
                      <c:pt idx="10" formatCode="General">
                        <c:v>4.7498383968971796</c:v>
                      </c:pt>
                      <c:pt idx="11" formatCode="General">
                        <c:v>4.7497740238770199</c:v>
                      </c:pt>
                      <c:pt idx="12" formatCode="General">
                        <c:v>4.7497525662035898</c:v>
                      </c:pt>
                      <c:pt idx="13" formatCode="General">
                        <c:v>4.7499671429375701</c:v>
                      </c:pt>
                      <c:pt idx="14" formatCode="General">
                        <c:v>4.7495809048164102</c:v>
                      </c:pt>
                      <c:pt idx="15">
                        <c:v>-1.07288366848479E-5</c:v>
                      </c:pt>
                      <c:pt idx="16" formatCode="General">
                        <c:v>4.7500100582843698</c:v>
                      </c:pt>
                      <c:pt idx="17" formatCode="General">
                        <c:v>4.7498813122439802</c:v>
                      </c:pt>
                      <c:pt idx="18" formatCode="General">
                        <c:v>4.7497740238770199</c:v>
                      </c:pt>
                      <c:pt idx="19" formatCode="General">
                        <c:v>4.7499671429375701</c:v>
                      </c:pt>
                      <c:pt idx="20" formatCode="General">
                        <c:v>4.7483149020859496</c:v>
                      </c:pt>
                      <c:pt idx="21">
                        <c:v>-1.07288366848479E-5</c:v>
                      </c:pt>
                      <c:pt idx="22" formatCode="General">
                        <c:v>4.7499671429375701</c:v>
                      </c:pt>
                      <c:pt idx="23" formatCode="General">
                        <c:v>4.7498169392238196</c:v>
                      </c:pt>
                      <c:pt idx="24" formatCode="General">
                        <c:v>4.7477140872307997</c:v>
                      </c:pt>
                      <c:pt idx="25" formatCode="General">
                        <c:v>4.7469630686618398</c:v>
                      </c:pt>
                      <c:pt idx="26">
                        <c:v>-1.07288366848479E-5</c:v>
                      </c:pt>
                      <c:pt idx="27" formatCode="General">
                        <c:v>4.7457614389515399</c:v>
                      </c:pt>
                      <c:pt idx="28" formatCode="General">
                        <c:v>4.7502675503651499</c:v>
                      </c:pt>
                      <c:pt idx="29" formatCode="General">
                        <c:v>4.7455683198909897</c:v>
                      </c:pt>
                      <c:pt idx="30" formatCode="General">
                        <c:v>4.7450318780560101</c:v>
                      </c:pt>
                      <c:pt idx="31">
                        <c:v>-1.07288366848479E-5</c:v>
                      </c:pt>
                      <c:pt idx="32" formatCode="General">
                        <c:v>4.7441735711200801</c:v>
                      </c:pt>
                      <c:pt idx="33" formatCode="General">
                        <c:v>4.7499671429375701</c:v>
                      </c:pt>
                      <c:pt idx="34" formatCode="General">
                        <c:v>4.7498813122439802</c:v>
                      </c:pt>
                      <c:pt idx="35" formatCode="General">
                        <c:v>4.7450962510762302</c:v>
                      </c:pt>
                      <c:pt idx="36">
                        <c:v>-1.07288366848479E-5</c:v>
                      </c:pt>
                      <c:pt idx="37" formatCode="General">
                        <c:v>4.7500958889779596</c:v>
                      </c:pt>
                      <c:pt idx="38" formatCode="General">
                        <c:v>4.7500529736311696</c:v>
                      </c:pt>
                      <c:pt idx="39">
                        <c:v>-1.07288366848479E-5</c:v>
                      </c:pt>
                      <c:pt idx="40" formatCode="General">
                        <c:v>4.7500315159577999</c:v>
                      </c:pt>
                      <c:pt idx="41" formatCode="General">
                        <c:v>4.7499671429375701</c:v>
                      </c:pt>
                      <c:pt idx="42" formatCode="General">
                        <c:v>4.7497525662035898</c:v>
                      </c:pt>
                      <c:pt idx="43" formatCode="General">
                        <c:v>4.7499456852642004</c:v>
                      </c:pt>
                      <c:pt idx="44" formatCode="General">
                        <c:v>4.7504606694257596</c:v>
                      </c:pt>
                      <c:pt idx="45">
                        <c:v>-1.07288366848479E-5</c:v>
                      </c:pt>
                      <c:pt idx="46" formatCode="General">
                        <c:v>4.7499456852642004</c:v>
                      </c:pt>
                      <c:pt idx="47" formatCode="General">
                        <c:v>4.7498813122439802</c:v>
                      </c:pt>
                      <c:pt idx="48" formatCode="General">
                        <c:v>4.7509971112606797</c:v>
                      </c:pt>
                      <c:pt idx="49" formatCode="General">
                        <c:v>4.7514048070552803</c:v>
                      </c:pt>
                      <c:pt idx="50">
                        <c:v>-1.07288366848479E-5</c:v>
                      </c:pt>
                      <c:pt idx="51" formatCode="General">
                        <c:v>4.7502246350183501</c:v>
                      </c:pt>
                      <c:pt idx="52" formatCode="General">
                        <c:v>4.7502031773449804</c:v>
                      </c:pt>
                      <c:pt idx="53" formatCode="General">
                        <c:v>4.7497740238770199</c:v>
                      </c:pt>
                      <c:pt idx="54" formatCode="General">
                        <c:v>4.7497525662035898</c:v>
                      </c:pt>
                      <c:pt idx="55" formatCode="General">
                        <c:v>4.7485080211464998</c:v>
                      </c:pt>
                      <c:pt idx="56">
                        <c:v>-1.07288366848479E-5</c:v>
                      </c:pt>
                      <c:pt idx="57" formatCode="General">
                        <c:v>4.7500958889779596</c:v>
                      </c:pt>
                      <c:pt idx="58" formatCode="General">
                        <c:v>4.7499671429375701</c:v>
                      </c:pt>
                      <c:pt idx="59" formatCode="General">
                        <c:v>4.7478642909445599</c:v>
                      </c:pt>
                      <c:pt idx="60" formatCode="General">
                        <c:v>4.7483578174327397</c:v>
                      </c:pt>
                      <c:pt idx="61" formatCode="General">
                        <c:v>4.7500315159577999</c:v>
                      </c:pt>
                      <c:pt idx="62" formatCode="General">
                        <c:v>4.7499027699174103</c:v>
                      </c:pt>
                      <c:pt idx="63">
                        <c:v>-1.07288366848479E-5</c:v>
                      </c:pt>
                      <c:pt idx="64" formatCode="General">
                        <c:v>4.7498383968971796</c:v>
                      </c:pt>
                      <c:pt idx="65" formatCode="General">
                        <c:v>4.7496452778366303</c:v>
                      </c:pt>
                      <c:pt idx="66" formatCode="General">
                        <c:v>4.7496881931834301</c:v>
                      </c:pt>
                      <c:pt idx="67" formatCode="General">
                        <c:v>-180</c:v>
                      </c:pt>
                      <c:pt idx="68" formatCode="General">
                        <c:v>4.7498598545706097</c:v>
                      </c:pt>
                      <c:pt idx="69" formatCode="General">
                        <c:v>4.7498383968971796</c:v>
                      </c:pt>
                      <c:pt idx="70">
                        <c:v>-1.07288366848479E-5</c:v>
                      </c:pt>
                      <c:pt idx="71" formatCode="General">
                        <c:v>4.7500100582843698</c:v>
                      </c:pt>
                      <c:pt idx="72" formatCode="General">
                        <c:v>4.7498169392238196</c:v>
                      </c:pt>
                      <c:pt idx="73" formatCode="General">
                        <c:v>4.7497525662035898</c:v>
                      </c:pt>
                      <c:pt idx="74">
                        <c:v>-1.07288366848479E-5</c:v>
                      </c:pt>
                      <c:pt idx="75" formatCode="General">
                        <c:v>4.7497096508567997</c:v>
                      </c:pt>
                      <c:pt idx="76" formatCode="General">
                        <c:v>4.7498383968971796</c:v>
                      </c:pt>
                      <c:pt idx="77">
                        <c:v>-1.07288366848479E-5</c:v>
                      </c:pt>
                      <c:pt idx="78" formatCode="General">
                        <c:v>4.7497954815503904</c:v>
                      </c:pt>
                      <c:pt idx="79" formatCode="General">
                        <c:v>4.7496238201632002</c:v>
                      </c:pt>
                      <c:pt idx="80" formatCode="General">
                        <c:v>4.7491946666952396</c:v>
                      </c:pt>
                      <c:pt idx="81">
                        <c:v>-1.07288366848479E-5</c:v>
                      </c:pt>
                      <c:pt idx="82" formatCode="General">
                        <c:v>4.7497096508567997</c:v>
                      </c:pt>
                      <c:pt idx="83" formatCode="General">
                        <c:v>4.7496238201632002</c:v>
                      </c:pt>
                      <c:pt idx="84">
                        <c:v>-1.07288366848479E-5</c:v>
                      </c:pt>
                      <c:pt idx="85" formatCode="General">
                        <c:v>4.7499456852642004</c:v>
                      </c:pt>
                      <c:pt idx="86" formatCode="General">
                        <c:v>4.74966673551</c:v>
                      </c:pt>
                      <c:pt idx="87" formatCode="General">
                        <c:v>4.7497740238770199</c:v>
                      </c:pt>
                      <c:pt idx="88">
                        <c:v>-1.07288366848479E-5</c:v>
                      </c:pt>
                      <c:pt idx="89" formatCode="General">
                        <c:v>4.7497311085302201</c:v>
                      </c:pt>
                      <c:pt idx="90" formatCode="General">
                        <c:v>4.74966673551</c:v>
                      </c:pt>
                      <c:pt idx="91">
                        <c:v>-1.07288366848479E-5</c:v>
                      </c:pt>
                      <c:pt idx="92" formatCode="General">
                        <c:v>4.7497525662035898</c:v>
                      </c:pt>
                      <c:pt idx="93" formatCode="General">
                        <c:v>4.7498169392238196</c:v>
                      </c:pt>
                      <c:pt idx="94" formatCode="General">
                        <c:v>4.7497954815503904</c:v>
                      </c:pt>
                      <c:pt idx="95">
                        <c:v>-1.07288366848479E-5</c:v>
                      </c:pt>
                      <c:pt idx="96" formatCode="General">
                        <c:v>4.7498598545706097</c:v>
                      </c:pt>
                      <c:pt idx="97" formatCode="General">
                        <c:v>4.7496881931834301</c:v>
                      </c:pt>
                      <c:pt idx="98">
                        <c:v>-1.07288366848479E-5</c:v>
                      </c:pt>
                      <c:pt idx="99" formatCode="General">
                        <c:v>4.7498813122439802</c:v>
                      </c:pt>
                      <c:pt idx="100" formatCode="General">
                        <c:v>-180</c:v>
                      </c:pt>
                      <c:pt idx="101">
                        <c:v>-1.07288366848479E-5</c:v>
                      </c:pt>
                      <c:pt idx="102" formatCode="General">
                        <c:v>-180</c:v>
                      </c:pt>
                      <c:pt idx="103" formatCode="General">
                        <c:v>4.7497740238770199</c:v>
                      </c:pt>
                      <c:pt idx="104" formatCode="General">
                        <c:v>4.7495594471430396</c:v>
                      </c:pt>
                      <c:pt idx="105" formatCode="General">
                        <c:v>4.7497096508567997</c:v>
                      </c:pt>
                      <c:pt idx="106" formatCode="General">
                        <c:v>4.7497096508567997</c:v>
                      </c:pt>
                      <c:pt idx="107" formatCode="General">
                        <c:v>4.7496881931834301</c:v>
                      </c:pt>
                      <c:pt idx="108" formatCode="General">
                        <c:v>4.7497096508567997</c:v>
                      </c:pt>
                      <c:pt idx="109">
                        <c:v>-1.07288366848479E-5</c:v>
                      </c:pt>
                      <c:pt idx="110" formatCode="General">
                        <c:v>4.7497525662035898</c:v>
                      </c:pt>
                      <c:pt idx="111" formatCode="General">
                        <c:v>4.7500100582843698</c:v>
                      </c:pt>
                      <c:pt idx="112" formatCode="General">
                        <c:v>4.7497096508567997</c:v>
                      </c:pt>
                      <c:pt idx="113">
                        <c:v>-1.07288366848479E-5</c:v>
                      </c:pt>
                      <c:pt idx="114" formatCode="General">
                        <c:v>4.74966673551</c:v>
                      </c:pt>
                      <c:pt idx="115" formatCode="General">
                        <c:v>4.7497311085302201</c:v>
                      </c:pt>
                      <c:pt idx="116">
                        <c:v>-1.07288366848479E-5</c:v>
                      </c:pt>
                      <c:pt idx="117" formatCode="General">
                        <c:v>4.7496238201632002</c:v>
                      </c:pt>
                      <c:pt idx="118" formatCode="General">
                        <c:v>4.7496881931834301</c:v>
                      </c:pt>
                      <c:pt idx="119" formatCode="General">
                        <c:v>4.7497740238770199</c:v>
                      </c:pt>
                      <c:pt idx="120">
                        <c:v>-1.07288366848479E-5</c:v>
                      </c:pt>
                      <c:pt idx="121" formatCode="General">
                        <c:v>4.7497525662035898</c:v>
                      </c:pt>
                      <c:pt idx="122" formatCode="General">
                        <c:v>4.7496881931834301</c:v>
                      </c:pt>
                      <c:pt idx="123">
                        <c:v>-1.07288366848479E-5</c:v>
                      </c:pt>
                      <c:pt idx="124" formatCode="General">
                        <c:v>4.74943070110265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Vbatt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3</c:v>
                      </c:pt>
                      <c:pt idx="1">
                        <c:v>678</c:v>
                      </c:pt>
                      <c:pt idx="2">
                        <c:v>0</c:v>
                      </c:pt>
                      <c:pt idx="3">
                        <c:v>6</c:v>
                      </c:pt>
                      <c:pt idx="4">
                        <c:v>678</c:v>
                      </c:pt>
                      <c:pt idx="5">
                        <c:v>0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10</c:v>
                      </c:pt>
                      <c:pt idx="9">
                        <c:v>678</c:v>
                      </c:pt>
                      <c:pt idx="10">
                        <c:v>8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678</c:v>
                      </c:pt>
                      <c:pt idx="16">
                        <c:v>1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6</c:v>
                      </c:pt>
                      <c:pt idx="20">
                        <c:v>0</c:v>
                      </c:pt>
                      <c:pt idx="21">
                        <c:v>678</c:v>
                      </c:pt>
                      <c:pt idx="22">
                        <c:v>7</c:v>
                      </c:pt>
                      <c:pt idx="23">
                        <c:v>6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678</c:v>
                      </c:pt>
                      <c:pt idx="27">
                        <c:v>5</c:v>
                      </c:pt>
                      <c:pt idx="28">
                        <c:v>29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678</c:v>
                      </c:pt>
                      <c:pt idx="32">
                        <c:v>0</c:v>
                      </c:pt>
                      <c:pt idx="33">
                        <c:v>16</c:v>
                      </c:pt>
                      <c:pt idx="34">
                        <c:v>0</c:v>
                      </c:pt>
                      <c:pt idx="35">
                        <c:v>16</c:v>
                      </c:pt>
                      <c:pt idx="36">
                        <c:v>678</c:v>
                      </c:pt>
                      <c:pt idx="37">
                        <c:v>54</c:v>
                      </c:pt>
                      <c:pt idx="38">
                        <c:v>41</c:v>
                      </c:pt>
                      <c:pt idx="39">
                        <c:v>678</c:v>
                      </c:pt>
                      <c:pt idx="40">
                        <c:v>32</c:v>
                      </c:pt>
                      <c:pt idx="41">
                        <c:v>25</c:v>
                      </c:pt>
                      <c:pt idx="42">
                        <c:v>8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678</c:v>
                      </c:pt>
                      <c:pt idx="46">
                        <c:v>15</c:v>
                      </c:pt>
                      <c:pt idx="47">
                        <c:v>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678</c:v>
                      </c:pt>
                      <c:pt idx="51">
                        <c:v>0</c:v>
                      </c:pt>
                      <c:pt idx="52">
                        <c:v>24</c:v>
                      </c:pt>
                      <c:pt idx="53">
                        <c:v>23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678</c:v>
                      </c:pt>
                      <c:pt idx="57">
                        <c:v>18</c:v>
                      </c:pt>
                      <c:pt idx="58">
                        <c:v>46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1</c:v>
                      </c:pt>
                      <c:pt idx="62">
                        <c:v>18</c:v>
                      </c:pt>
                      <c:pt idx="63">
                        <c:v>678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6</c:v>
                      </c:pt>
                      <c:pt idx="69">
                        <c:v>0</c:v>
                      </c:pt>
                      <c:pt idx="70">
                        <c:v>678</c:v>
                      </c:pt>
                      <c:pt idx="71">
                        <c:v>5</c:v>
                      </c:pt>
                      <c:pt idx="72">
                        <c:v>0</c:v>
                      </c:pt>
                      <c:pt idx="73">
                        <c:v>11</c:v>
                      </c:pt>
                      <c:pt idx="74">
                        <c:v>678</c:v>
                      </c:pt>
                      <c:pt idx="75">
                        <c:v>0</c:v>
                      </c:pt>
                      <c:pt idx="76">
                        <c:v>6</c:v>
                      </c:pt>
                      <c:pt idx="77">
                        <c:v>678</c:v>
                      </c:pt>
                      <c:pt idx="78">
                        <c:v>0</c:v>
                      </c:pt>
                      <c:pt idx="79">
                        <c:v>2</c:v>
                      </c:pt>
                      <c:pt idx="80">
                        <c:v>51</c:v>
                      </c:pt>
                      <c:pt idx="81">
                        <c:v>678</c:v>
                      </c:pt>
                      <c:pt idx="82">
                        <c:v>18</c:v>
                      </c:pt>
                      <c:pt idx="83">
                        <c:v>0</c:v>
                      </c:pt>
                      <c:pt idx="84">
                        <c:v>678</c:v>
                      </c:pt>
                      <c:pt idx="85">
                        <c:v>23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678</c:v>
                      </c:pt>
                      <c:pt idx="89">
                        <c:v>0</c:v>
                      </c:pt>
                      <c:pt idx="90">
                        <c:v>38</c:v>
                      </c:pt>
                      <c:pt idx="91">
                        <c:v>678</c:v>
                      </c:pt>
                      <c:pt idx="92">
                        <c:v>0</c:v>
                      </c:pt>
                      <c:pt idx="93">
                        <c:v>1</c:v>
                      </c:pt>
                      <c:pt idx="94">
                        <c:v>0</c:v>
                      </c:pt>
                      <c:pt idx="95">
                        <c:v>678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678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678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3</c:v>
                      </c:pt>
                      <c:pt idx="108">
                        <c:v>0</c:v>
                      </c:pt>
                      <c:pt idx="109">
                        <c:v>678</c:v>
                      </c:pt>
                      <c:pt idx="110">
                        <c:v>0</c:v>
                      </c:pt>
                      <c:pt idx="111">
                        <c:v>41</c:v>
                      </c:pt>
                      <c:pt idx="112">
                        <c:v>4</c:v>
                      </c:pt>
                      <c:pt idx="113">
                        <c:v>678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678</c:v>
                      </c:pt>
                      <c:pt idx="117">
                        <c:v>7</c:v>
                      </c:pt>
                      <c:pt idx="118">
                        <c:v>0</c:v>
                      </c:pt>
                      <c:pt idx="119">
                        <c:v>5</c:v>
                      </c:pt>
                      <c:pt idx="120">
                        <c:v>678</c:v>
                      </c:pt>
                      <c:pt idx="121">
                        <c:v>4</c:v>
                      </c:pt>
                      <c:pt idx="122">
                        <c:v>0</c:v>
                      </c:pt>
                      <c:pt idx="123">
                        <c:v>678</c:v>
                      </c:pt>
                      <c:pt idx="124">
                        <c:v>17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43071.578194444446</c:v>
                </c:pt>
                <c:pt idx="1">
                  <c:v>43071.578692129631</c:v>
                </c:pt>
                <c:pt idx="2">
                  <c:v>43071.579664351855</c:v>
                </c:pt>
                <c:pt idx="3">
                  <c:v>43071.579745370371</c:v>
                </c:pt>
                <c:pt idx="4">
                  <c:v>43071.581574074073</c:v>
                </c:pt>
                <c:pt idx="5">
                  <c:v>43071.581793981481</c:v>
                </c:pt>
                <c:pt idx="6">
                  <c:v>43071.582453703704</c:v>
                </c:pt>
                <c:pt idx="7">
                  <c:v>43071.58253472222</c:v>
                </c:pt>
                <c:pt idx="8">
                  <c:v>43071.583055555559</c:v>
                </c:pt>
                <c:pt idx="9">
                  <c:v>43071.584456018521</c:v>
                </c:pt>
                <c:pt idx="10">
                  <c:v>43071.585081018522</c:v>
                </c:pt>
                <c:pt idx="11">
                  <c:v>43071.585243055553</c:v>
                </c:pt>
                <c:pt idx="12">
                  <c:v>43071.585324074076</c:v>
                </c:pt>
                <c:pt idx="13">
                  <c:v>43071.586099537039</c:v>
                </c:pt>
                <c:pt idx="14">
                  <c:v>43071.587118055555</c:v>
                </c:pt>
                <c:pt idx="15">
                  <c:v>43071.587326388886</c:v>
                </c:pt>
                <c:pt idx="16">
                  <c:v>43071.58803240741</c:v>
                </c:pt>
                <c:pt idx="17">
                  <c:v>43071.588113425925</c:v>
                </c:pt>
                <c:pt idx="18">
                  <c:v>43071.588136574072</c:v>
                </c:pt>
                <c:pt idx="19">
                  <c:v>43071.589166666665</c:v>
                </c:pt>
                <c:pt idx="20">
                  <c:v>43071.590196759258</c:v>
                </c:pt>
                <c:pt idx="21">
                  <c:v>43071.590208333335</c:v>
                </c:pt>
                <c:pt idx="22">
                  <c:v>43071.590821759259</c:v>
                </c:pt>
                <c:pt idx="23">
                  <c:v>43071.590902777774</c:v>
                </c:pt>
                <c:pt idx="24">
                  <c:v>43071.591226851851</c:v>
                </c:pt>
                <c:pt idx="25">
                  <c:v>43071.592256944445</c:v>
                </c:pt>
                <c:pt idx="26">
                  <c:v>43071.593078703707</c:v>
                </c:pt>
                <c:pt idx="27">
                  <c:v>43071.593275462961</c:v>
                </c:pt>
                <c:pt idx="28">
                  <c:v>43071.593611111108</c:v>
                </c:pt>
                <c:pt idx="29">
                  <c:v>43071.594305555554</c:v>
                </c:pt>
                <c:pt idx="30">
                  <c:v>43071.595335648148</c:v>
                </c:pt>
                <c:pt idx="31">
                  <c:v>43071.595960648148</c:v>
                </c:pt>
                <c:pt idx="32">
                  <c:v>43071.596354166664</c:v>
                </c:pt>
                <c:pt idx="33">
                  <c:v>43071.596400462964</c:v>
                </c:pt>
                <c:pt idx="34">
                  <c:v>43071.59648148148</c:v>
                </c:pt>
                <c:pt idx="35">
                  <c:v>43071.597372685188</c:v>
                </c:pt>
                <c:pt idx="36">
                  <c:v>43071.59883101852</c:v>
                </c:pt>
                <c:pt idx="37">
                  <c:v>43071.599189814813</c:v>
                </c:pt>
                <c:pt idx="38">
                  <c:v>43071.599270833336</c:v>
                </c:pt>
                <c:pt idx="39">
                  <c:v>43071.601712962962</c:v>
                </c:pt>
                <c:pt idx="40">
                  <c:v>43071.601979166669</c:v>
                </c:pt>
                <c:pt idx="41">
                  <c:v>43071.602060185185</c:v>
                </c:pt>
                <c:pt idx="42">
                  <c:v>43071.602442129632</c:v>
                </c:pt>
                <c:pt idx="43">
                  <c:v>43071.603460648148</c:v>
                </c:pt>
                <c:pt idx="44">
                  <c:v>43071.604490740741</c:v>
                </c:pt>
                <c:pt idx="45">
                  <c:v>43071.604583333334</c:v>
                </c:pt>
                <c:pt idx="46">
                  <c:v>43071.604768518519</c:v>
                </c:pt>
                <c:pt idx="47">
                  <c:v>43071.604849537034</c:v>
                </c:pt>
                <c:pt idx="48">
                  <c:v>43071.605509259258</c:v>
                </c:pt>
                <c:pt idx="49">
                  <c:v>43071.606527777774</c:v>
                </c:pt>
                <c:pt idx="50">
                  <c:v>43071.607465277775</c:v>
                </c:pt>
                <c:pt idx="51">
                  <c:v>43071.607557870368</c:v>
                </c:pt>
                <c:pt idx="52">
                  <c:v>43071.607557870368</c:v>
                </c:pt>
                <c:pt idx="53">
                  <c:v>43071.607638888891</c:v>
                </c:pt>
                <c:pt idx="54">
                  <c:v>43071.608564814815</c:v>
                </c:pt>
                <c:pt idx="55">
                  <c:v>43071.609583333331</c:v>
                </c:pt>
                <c:pt idx="56">
                  <c:v>43071.610335648147</c:v>
                </c:pt>
                <c:pt idx="57">
                  <c:v>43071.610347222224</c:v>
                </c:pt>
                <c:pt idx="58">
                  <c:v>43071.61042824074</c:v>
                </c:pt>
                <c:pt idx="59">
                  <c:v>43071.610601851855</c:v>
                </c:pt>
                <c:pt idx="60">
                  <c:v>43071.611620370371</c:v>
                </c:pt>
                <c:pt idx="61">
                  <c:v>43071.612650462965</c:v>
                </c:pt>
                <c:pt idx="62">
                  <c:v>43071.613136574073</c:v>
                </c:pt>
                <c:pt idx="63">
                  <c:v>43071.613217592596</c:v>
                </c:pt>
                <c:pt idx="64">
                  <c:v>43071.613217592596</c:v>
                </c:pt>
                <c:pt idx="65">
                  <c:v>43071.614675925928</c:v>
                </c:pt>
                <c:pt idx="66">
                  <c:v>43071.615127314813</c:v>
                </c:pt>
                <c:pt idx="67">
                  <c:v>43071.615613425929</c:v>
                </c:pt>
                <c:pt idx="68">
                  <c:v>43071.615925925929</c:v>
                </c:pt>
                <c:pt idx="69">
                  <c:v>43071.616006944445</c:v>
                </c:pt>
                <c:pt idx="70">
                  <c:v>43071.616087962961</c:v>
                </c:pt>
                <c:pt idx="71">
                  <c:v>43071.618402777778</c:v>
                </c:pt>
                <c:pt idx="72">
                  <c:v>43071.618715277778</c:v>
                </c:pt>
                <c:pt idx="73">
                  <c:v>43071.618796296294</c:v>
                </c:pt>
                <c:pt idx="74">
                  <c:v>43071.618969907409</c:v>
                </c:pt>
                <c:pt idx="75">
                  <c:v>43071.621192129627</c:v>
                </c:pt>
                <c:pt idx="76">
                  <c:v>43071.621504629627</c:v>
                </c:pt>
                <c:pt idx="77">
                  <c:v>43071.621840277781</c:v>
                </c:pt>
                <c:pt idx="78">
                  <c:v>43071.623981481483</c:v>
                </c:pt>
                <c:pt idx="79">
                  <c:v>43071.624293981484</c:v>
                </c:pt>
                <c:pt idx="80">
                  <c:v>43071.624374999999</c:v>
                </c:pt>
                <c:pt idx="81">
                  <c:v>43071.624722222223</c:v>
                </c:pt>
                <c:pt idx="82">
                  <c:v>43071.627083333333</c:v>
                </c:pt>
                <c:pt idx="83">
                  <c:v>43071.627164351848</c:v>
                </c:pt>
                <c:pt idx="84">
                  <c:v>43071.627592592595</c:v>
                </c:pt>
                <c:pt idx="85">
                  <c:v>43071.629560185182</c:v>
                </c:pt>
                <c:pt idx="86">
                  <c:v>43071.629872685182</c:v>
                </c:pt>
                <c:pt idx="87">
                  <c:v>43071.629953703705</c:v>
                </c:pt>
                <c:pt idx="88">
                  <c:v>43071.630474537036</c:v>
                </c:pt>
                <c:pt idx="89">
                  <c:v>43071.632662037038</c:v>
                </c:pt>
                <c:pt idx="90">
                  <c:v>43071.632743055554</c:v>
                </c:pt>
                <c:pt idx="91">
                  <c:v>43071.633344907408</c:v>
                </c:pt>
                <c:pt idx="92">
                  <c:v>43071.635138888887</c:v>
                </c:pt>
                <c:pt idx="93">
                  <c:v>43071.635451388887</c:v>
                </c:pt>
                <c:pt idx="94">
                  <c:v>43071.63553240741</c:v>
                </c:pt>
                <c:pt idx="95">
                  <c:v>43071.63622685185</c:v>
                </c:pt>
                <c:pt idx="96">
                  <c:v>43071.638240740744</c:v>
                </c:pt>
                <c:pt idx="97">
                  <c:v>43071.638321759259</c:v>
                </c:pt>
                <c:pt idx="98">
                  <c:v>43071.639097222222</c:v>
                </c:pt>
                <c:pt idx="99">
                  <c:v>43071.641030092593</c:v>
                </c:pt>
                <c:pt idx="100">
                  <c:v>43071.641597222224</c:v>
                </c:pt>
                <c:pt idx="101">
                  <c:v>43071.641979166663</c:v>
                </c:pt>
                <c:pt idx="102">
                  <c:v>43071.642013888886</c:v>
                </c:pt>
                <c:pt idx="103">
                  <c:v>43071.643819444442</c:v>
                </c:pt>
                <c:pt idx="104">
                  <c:v>43071.643900462965</c:v>
                </c:pt>
                <c:pt idx="105">
                  <c:v>43071.644803240742</c:v>
                </c:pt>
                <c:pt idx="106">
                  <c:v>43071.646608796298</c:v>
                </c:pt>
                <c:pt idx="107">
                  <c:v>43071.646689814814</c:v>
                </c:pt>
                <c:pt idx="108">
                  <c:v>43071.647592592592</c:v>
                </c:pt>
                <c:pt idx="109">
                  <c:v>43071.647731481484</c:v>
                </c:pt>
                <c:pt idx="110">
                  <c:v>43071.649398148147</c:v>
                </c:pt>
                <c:pt idx="111">
                  <c:v>43071.64947916667</c:v>
                </c:pt>
                <c:pt idx="112">
                  <c:v>43071.650381944448</c:v>
                </c:pt>
                <c:pt idx="113">
                  <c:v>43071.650601851848</c:v>
                </c:pt>
                <c:pt idx="114">
                  <c:v>43071.652187500003</c:v>
                </c:pt>
                <c:pt idx="115">
                  <c:v>43071.652268518519</c:v>
                </c:pt>
                <c:pt idx="116">
                  <c:v>43071.653483796297</c:v>
                </c:pt>
                <c:pt idx="117">
                  <c:v>43071.654976851853</c:v>
                </c:pt>
                <c:pt idx="118">
                  <c:v>43071.655057870368</c:v>
                </c:pt>
                <c:pt idx="119">
                  <c:v>43071.655960648146</c:v>
                </c:pt>
                <c:pt idx="120">
                  <c:v>43071.656365740739</c:v>
                </c:pt>
                <c:pt idx="121">
                  <c:v>43071.657766203702</c:v>
                </c:pt>
                <c:pt idx="122">
                  <c:v>43071.658750000002</c:v>
                </c:pt>
                <c:pt idx="123">
                  <c:v>43071.659236111111</c:v>
                </c:pt>
                <c:pt idx="124">
                  <c:v>43071.660555555558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0.00E+00</c:formatCode>
                <c:ptCount val="9998"/>
                <c:pt idx="0" formatCode="General">
                  <c:v>4.7497311085302201</c:v>
                </c:pt>
                <c:pt idx="1">
                  <c:v>-1.07288366848479E-5</c:v>
                </c:pt>
                <c:pt idx="2" formatCode="General">
                  <c:v>4.7496238201632002</c:v>
                </c:pt>
                <c:pt idx="3" formatCode="General">
                  <c:v>4.7497525662035898</c:v>
                </c:pt>
                <c:pt idx="4">
                  <c:v>-1.07288366848479E-5</c:v>
                </c:pt>
                <c:pt idx="5" formatCode="General">
                  <c:v>4.7498169392238196</c:v>
                </c:pt>
                <c:pt idx="6" formatCode="General">
                  <c:v>4.7497740238770199</c:v>
                </c:pt>
                <c:pt idx="7" formatCode="General">
                  <c:v>4.7497525662035898</c:v>
                </c:pt>
                <c:pt idx="8" formatCode="General">
                  <c:v>4.7498598545706097</c:v>
                </c:pt>
                <c:pt idx="9">
                  <c:v>-1.07288366848479E-5</c:v>
                </c:pt>
                <c:pt idx="10" formatCode="General">
                  <c:v>4.7499671429375701</c:v>
                </c:pt>
                <c:pt idx="11" formatCode="General">
                  <c:v>4.7500100582843698</c:v>
                </c:pt>
                <c:pt idx="12" formatCode="General">
                  <c:v>4.7498813122439802</c:v>
                </c:pt>
                <c:pt idx="13" formatCode="General">
                  <c:v>4.7495809048164102</c:v>
                </c:pt>
                <c:pt idx="14" formatCode="General">
                  <c:v>4.7497740238770199</c:v>
                </c:pt>
                <c:pt idx="15">
                  <c:v>-1.07288366848479E-5</c:v>
                </c:pt>
                <c:pt idx="16" formatCode="General">
                  <c:v>4.7499671429375701</c:v>
                </c:pt>
                <c:pt idx="17" formatCode="General">
                  <c:v>4.7498169392238196</c:v>
                </c:pt>
                <c:pt idx="18" formatCode="General">
                  <c:v>4.7499671429375701</c:v>
                </c:pt>
                <c:pt idx="19" formatCode="General">
                  <c:v>4.7483149020859496</c:v>
                </c:pt>
                <c:pt idx="20" formatCode="General">
                  <c:v>4.7477140872307997</c:v>
                </c:pt>
                <c:pt idx="21">
                  <c:v>-1.07288366848479E-5</c:v>
                </c:pt>
                <c:pt idx="22" formatCode="General">
                  <c:v>4.7502675503651499</c:v>
                </c:pt>
                <c:pt idx="23" formatCode="General">
                  <c:v>4.7498598545706097</c:v>
                </c:pt>
                <c:pt idx="24" formatCode="General">
                  <c:v>4.7469630686618398</c:v>
                </c:pt>
                <c:pt idx="25" formatCode="General">
                  <c:v>4.7457614389515399</c:v>
                </c:pt>
                <c:pt idx="26">
                  <c:v>-1.07288366848479E-5</c:v>
                </c:pt>
                <c:pt idx="27" formatCode="General">
                  <c:v>4.7455683198909897</c:v>
                </c:pt>
                <c:pt idx="28" formatCode="General">
                  <c:v>4.7499671429375701</c:v>
                </c:pt>
                <c:pt idx="29" formatCode="General">
                  <c:v>4.7450318780560101</c:v>
                </c:pt>
                <c:pt idx="30" formatCode="General">
                  <c:v>4.7441735711200801</c:v>
                </c:pt>
                <c:pt idx="31">
                  <c:v>-1.07288366848479E-5</c:v>
                </c:pt>
                <c:pt idx="32" formatCode="General">
                  <c:v>4.7450962510762302</c:v>
                </c:pt>
                <c:pt idx="33" formatCode="General">
                  <c:v>4.7500958889779596</c:v>
                </c:pt>
                <c:pt idx="34" formatCode="General">
                  <c:v>4.7500529736311696</c:v>
                </c:pt>
                <c:pt idx="35" formatCode="General">
                  <c:v>4.7466197458874699</c:v>
                </c:pt>
                <c:pt idx="36">
                  <c:v>-1.07288366848479E-5</c:v>
                </c:pt>
                <c:pt idx="37" formatCode="General">
                  <c:v>4.7500315159577999</c:v>
                </c:pt>
                <c:pt idx="38" formatCode="General">
                  <c:v>4.7499671429375701</c:v>
                </c:pt>
                <c:pt idx="39">
                  <c:v>-1.07288366848479E-5</c:v>
                </c:pt>
                <c:pt idx="40" formatCode="General">
                  <c:v>4.7499456852642004</c:v>
                </c:pt>
                <c:pt idx="41" formatCode="General">
                  <c:v>4.7498813122439802</c:v>
                </c:pt>
                <c:pt idx="42" formatCode="General">
                  <c:v>4.7499456852642004</c:v>
                </c:pt>
                <c:pt idx="43" formatCode="General">
                  <c:v>4.7504606694257596</c:v>
                </c:pt>
                <c:pt idx="44" formatCode="General">
                  <c:v>4.7509971112606797</c:v>
                </c:pt>
                <c:pt idx="45">
                  <c:v>-1.07288366848479E-5</c:v>
                </c:pt>
                <c:pt idx="46" formatCode="General">
                  <c:v>4.7502031773449804</c:v>
                </c:pt>
                <c:pt idx="47" formatCode="General">
                  <c:v>4.7497740238770199</c:v>
                </c:pt>
                <c:pt idx="48" formatCode="General">
                  <c:v>4.7514048070552803</c:v>
                </c:pt>
                <c:pt idx="49" formatCode="General">
                  <c:v>4.7502246350183501</c:v>
                </c:pt>
                <c:pt idx="50">
                  <c:v>-1.07288366848479E-5</c:v>
                </c:pt>
                <c:pt idx="51" formatCode="General">
                  <c:v>4.7497525662035898</c:v>
                </c:pt>
                <c:pt idx="52" formatCode="General">
                  <c:v>4.7500958889779596</c:v>
                </c:pt>
                <c:pt idx="53" formatCode="General">
                  <c:v>4.7499671429375701</c:v>
                </c:pt>
                <c:pt idx="54" formatCode="General">
                  <c:v>4.7485080211464998</c:v>
                </c:pt>
                <c:pt idx="55" formatCode="General">
                  <c:v>4.7478642909445599</c:v>
                </c:pt>
                <c:pt idx="56">
                  <c:v>-1.07288366848479E-5</c:v>
                </c:pt>
                <c:pt idx="57" formatCode="General">
                  <c:v>4.7499027699174103</c:v>
                </c:pt>
                <c:pt idx="58" formatCode="General">
                  <c:v>4.7498383968971796</c:v>
                </c:pt>
                <c:pt idx="59" formatCode="General">
                  <c:v>4.7483578174327397</c:v>
                </c:pt>
                <c:pt idx="60" formatCode="General">
                  <c:v>4.7500315159577999</c:v>
                </c:pt>
                <c:pt idx="61" formatCode="General">
                  <c:v>4.7497740238770199</c:v>
                </c:pt>
                <c:pt idx="62" formatCode="General">
                  <c:v>4.7498598545706097</c:v>
                </c:pt>
                <c:pt idx="63">
                  <c:v>-1.07288366848479E-5</c:v>
                </c:pt>
                <c:pt idx="64" formatCode="General">
                  <c:v>4.7498383968971796</c:v>
                </c:pt>
                <c:pt idx="65" formatCode="General">
                  <c:v>4.7496881931834301</c:v>
                </c:pt>
                <c:pt idx="66" formatCode="General">
                  <c:v>4.7497096508567997</c:v>
                </c:pt>
                <c:pt idx="67" formatCode="General">
                  <c:v>4.7500100582843698</c:v>
                </c:pt>
                <c:pt idx="68" formatCode="General">
                  <c:v>4.7498169392238196</c:v>
                </c:pt>
                <c:pt idx="69" formatCode="General">
                  <c:v>4.7497525662035898</c:v>
                </c:pt>
                <c:pt idx="70">
                  <c:v>-1.07288366848479E-5</c:v>
                </c:pt>
                <c:pt idx="71" formatCode="General">
                  <c:v>4.7497096508567997</c:v>
                </c:pt>
                <c:pt idx="72" formatCode="General">
                  <c:v>4.7498383968971796</c:v>
                </c:pt>
                <c:pt idx="73" formatCode="General">
                  <c:v>4.7497311085302201</c:v>
                </c:pt>
                <c:pt idx="74">
                  <c:v>-1.07288366848479E-5</c:v>
                </c:pt>
                <c:pt idx="75" formatCode="General">
                  <c:v>4.7497954815503904</c:v>
                </c:pt>
                <c:pt idx="76" formatCode="General">
                  <c:v>4.7496238201632002</c:v>
                </c:pt>
                <c:pt idx="77">
                  <c:v>-1.07288366848479E-5</c:v>
                </c:pt>
                <c:pt idx="78" formatCode="General">
                  <c:v>4.7496881931834301</c:v>
                </c:pt>
                <c:pt idx="79" formatCode="General">
                  <c:v>4.7497096508567997</c:v>
                </c:pt>
                <c:pt idx="80" formatCode="General">
                  <c:v>4.7496238201632002</c:v>
                </c:pt>
                <c:pt idx="81">
                  <c:v>-1.07288366848479E-5</c:v>
                </c:pt>
                <c:pt idx="82" formatCode="General">
                  <c:v>4.74966673551</c:v>
                </c:pt>
                <c:pt idx="83" formatCode="General">
                  <c:v>4.7497740238770199</c:v>
                </c:pt>
                <c:pt idx="84">
                  <c:v>-1.07288366848479E-5</c:v>
                </c:pt>
                <c:pt idx="85" formatCode="General">
                  <c:v>4.7498598545706097</c:v>
                </c:pt>
                <c:pt idx="86" formatCode="General">
                  <c:v>4.7497311085302201</c:v>
                </c:pt>
                <c:pt idx="87" formatCode="General">
                  <c:v>4.74966673551</c:v>
                </c:pt>
                <c:pt idx="88">
                  <c:v>-1.07288366848479E-5</c:v>
                </c:pt>
                <c:pt idx="89" formatCode="General">
                  <c:v>4.7498169392238196</c:v>
                </c:pt>
                <c:pt idx="90" formatCode="General">
                  <c:v>4.7497954815503904</c:v>
                </c:pt>
                <c:pt idx="91">
                  <c:v>-1.07288366848479E-5</c:v>
                </c:pt>
                <c:pt idx="92" formatCode="General">
                  <c:v>4.7497525662035898</c:v>
                </c:pt>
                <c:pt idx="93" formatCode="General">
                  <c:v>4.7498598545706097</c:v>
                </c:pt>
                <c:pt idx="94" formatCode="General">
                  <c:v>4.7496881931834301</c:v>
                </c:pt>
                <c:pt idx="95">
                  <c:v>-1.07288366848479E-5</c:v>
                </c:pt>
                <c:pt idx="96" formatCode="General">
                  <c:v>4.7498813122439802</c:v>
                </c:pt>
                <c:pt idx="97" formatCode="General">
                  <c:v>4.7497311085302201</c:v>
                </c:pt>
                <c:pt idx="98">
                  <c:v>-1.07288366848479E-5</c:v>
                </c:pt>
                <c:pt idx="99" formatCode="General">
                  <c:v>4.7497740238770199</c:v>
                </c:pt>
                <c:pt idx="100" formatCode="General">
                  <c:v>4.7497096508567997</c:v>
                </c:pt>
                <c:pt idx="101">
                  <c:v>-1.07288366848479E-5</c:v>
                </c:pt>
                <c:pt idx="102" formatCode="General">
                  <c:v>4.7497096508567997</c:v>
                </c:pt>
                <c:pt idx="103" formatCode="General">
                  <c:v>4.7497096508567997</c:v>
                </c:pt>
                <c:pt idx="104" formatCode="General">
                  <c:v>4.7496881931834301</c:v>
                </c:pt>
                <c:pt idx="105" formatCode="General">
                  <c:v>4.7497096508567997</c:v>
                </c:pt>
                <c:pt idx="106" formatCode="General">
                  <c:v>4.7497525662035898</c:v>
                </c:pt>
                <c:pt idx="107" formatCode="General">
                  <c:v>4.7500100582843698</c:v>
                </c:pt>
                <c:pt idx="108" formatCode="General">
                  <c:v>4.7497096508567997</c:v>
                </c:pt>
                <c:pt idx="109">
                  <c:v>-1.07288366848479E-5</c:v>
                </c:pt>
                <c:pt idx="110" formatCode="General">
                  <c:v>4.74966673551</c:v>
                </c:pt>
                <c:pt idx="111" formatCode="General">
                  <c:v>4.7497311085302201</c:v>
                </c:pt>
                <c:pt idx="112" formatCode="General">
                  <c:v>4.7497525662035898</c:v>
                </c:pt>
                <c:pt idx="113">
                  <c:v>-1.07288366848479E-5</c:v>
                </c:pt>
                <c:pt idx="114" formatCode="General">
                  <c:v>4.7496238201632002</c:v>
                </c:pt>
                <c:pt idx="115" formatCode="General">
                  <c:v>4.7496881931834301</c:v>
                </c:pt>
                <c:pt idx="116">
                  <c:v>-1.07288366848479E-5</c:v>
                </c:pt>
                <c:pt idx="117" formatCode="General">
                  <c:v>4.7497525662035898</c:v>
                </c:pt>
                <c:pt idx="118" formatCode="General">
                  <c:v>4.7497096508567997</c:v>
                </c:pt>
                <c:pt idx="119" formatCode="General">
                  <c:v>4.7496881931834301</c:v>
                </c:pt>
                <c:pt idx="120">
                  <c:v>-1.07288366848479E-5</c:v>
                </c:pt>
                <c:pt idx="121" formatCode="General">
                  <c:v>4.74943070110265</c:v>
                </c:pt>
                <c:pt idx="122" formatCode="General">
                  <c:v>4.7497525662035898</c:v>
                </c:pt>
                <c:pt idx="123">
                  <c:v>-1.07288366848479E-5</c:v>
                </c:pt>
                <c:pt idx="124" formatCode="General">
                  <c:v>4.7496452778366303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43071.578194444446</c:v>
                </c:pt>
                <c:pt idx="1">
                  <c:v>43071.578692129631</c:v>
                </c:pt>
                <c:pt idx="2">
                  <c:v>43071.579664351855</c:v>
                </c:pt>
                <c:pt idx="3">
                  <c:v>43071.579745370371</c:v>
                </c:pt>
                <c:pt idx="4">
                  <c:v>43071.581574074073</c:v>
                </c:pt>
                <c:pt idx="5">
                  <c:v>43071.581793981481</c:v>
                </c:pt>
                <c:pt idx="6">
                  <c:v>43071.582453703704</c:v>
                </c:pt>
                <c:pt idx="7">
                  <c:v>43071.58253472222</c:v>
                </c:pt>
                <c:pt idx="8">
                  <c:v>43071.583055555559</c:v>
                </c:pt>
                <c:pt idx="9">
                  <c:v>43071.584456018521</c:v>
                </c:pt>
                <c:pt idx="10">
                  <c:v>43071.585081018522</c:v>
                </c:pt>
                <c:pt idx="11">
                  <c:v>43071.585243055553</c:v>
                </c:pt>
                <c:pt idx="12">
                  <c:v>43071.585324074076</c:v>
                </c:pt>
                <c:pt idx="13">
                  <c:v>43071.586099537039</c:v>
                </c:pt>
                <c:pt idx="14">
                  <c:v>43071.587118055555</c:v>
                </c:pt>
                <c:pt idx="15">
                  <c:v>43071.587326388886</c:v>
                </c:pt>
                <c:pt idx="16">
                  <c:v>43071.58803240741</c:v>
                </c:pt>
                <c:pt idx="17">
                  <c:v>43071.588113425925</c:v>
                </c:pt>
                <c:pt idx="18">
                  <c:v>43071.588136574072</c:v>
                </c:pt>
                <c:pt idx="19">
                  <c:v>43071.589166666665</c:v>
                </c:pt>
                <c:pt idx="20">
                  <c:v>43071.590196759258</c:v>
                </c:pt>
                <c:pt idx="21">
                  <c:v>43071.590208333335</c:v>
                </c:pt>
                <c:pt idx="22">
                  <c:v>43071.590821759259</c:v>
                </c:pt>
                <c:pt idx="23">
                  <c:v>43071.590902777774</c:v>
                </c:pt>
                <c:pt idx="24">
                  <c:v>43071.591226851851</c:v>
                </c:pt>
                <c:pt idx="25">
                  <c:v>43071.592256944445</c:v>
                </c:pt>
                <c:pt idx="26">
                  <c:v>43071.593078703707</c:v>
                </c:pt>
                <c:pt idx="27">
                  <c:v>43071.593275462961</c:v>
                </c:pt>
                <c:pt idx="28">
                  <c:v>43071.593611111108</c:v>
                </c:pt>
                <c:pt idx="29">
                  <c:v>43071.594305555554</c:v>
                </c:pt>
                <c:pt idx="30">
                  <c:v>43071.595335648148</c:v>
                </c:pt>
                <c:pt idx="31">
                  <c:v>43071.595960648148</c:v>
                </c:pt>
                <c:pt idx="32">
                  <c:v>43071.596354166664</c:v>
                </c:pt>
                <c:pt idx="33">
                  <c:v>43071.596400462964</c:v>
                </c:pt>
                <c:pt idx="34">
                  <c:v>43071.59648148148</c:v>
                </c:pt>
                <c:pt idx="35">
                  <c:v>43071.597372685188</c:v>
                </c:pt>
                <c:pt idx="36">
                  <c:v>43071.59883101852</c:v>
                </c:pt>
                <c:pt idx="37">
                  <c:v>43071.599189814813</c:v>
                </c:pt>
                <c:pt idx="38">
                  <c:v>43071.599270833336</c:v>
                </c:pt>
                <c:pt idx="39">
                  <c:v>43071.601712962962</c:v>
                </c:pt>
                <c:pt idx="40">
                  <c:v>43071.601979166669</c:v>
                </c:pt>
                <c:pt idx="41">
                  <c:v>43071.602060185185</c:v>
                </c:pt>
                <c:pt idx="42">
                  <c:v>43071.602442129632</c:v>
                </c:pt>
                <c:pt idx="43">
                  <c:v>43071.603460648148</c:v>
                </c:pt>
                <c:pt idx="44">
                  <c:v>43071.604490740741</c:v>
                </c:pt>
                <c:pt idx="45">
                  <c:v>43071.604583333334</c:v>
                </c:pt>
                <c:pt idx="46">
                  <c:v>43071.604768518519</c:v>
                </c:pt>
                <c:pt idx="47">
                  <c:v>43071.604849537034</c:v>
                </c:pt>
                <c:pt idx="48">
                  <c:v>43071.605509259258</c:v>
                </c:pt>
                <c:pt idx="49">
                  <c:v>43071.606527777774</c:v>
                </c:pt>
                <c:pt idx="50">
                  <c:v>43071.607465277775</c:v>
                </c:pt>
                <c:pt idx="51">
                  <c:v>43071.607557870368</c:v>
                </c:pt>
                <c:pt idx="52">
                  <c:v>43071.607557870368</c:v>
                </c:pt>
                <c:pt idx="53">
                  <c:v>43071.607638888891</c:v>
                </c:pt>
                <c:pt idx="54">
                  <c:v>43071.608564814815</c:v>
                </c:pt>
                <c:pt idx="55">
                  <c:v>43071.609583333331</c:v>
                </c:pt>
                <c:pt idx="56">
                  <c:v>43071.610335648147</c:v>
                </c:pt>
                <c:pt idx="57">
                  <c:v>43071.610347222224</c:v>
                </c:pt>
                <c:pt idx="58">
                  <c:v>43071.61042824074</c:v>
                </c:pt>
                <c:pt idx="59">
                  <c:v>43071.610601851855</c:v>
                </c:pt>
                <c:pt idx="60">
                  <c:v>43071.611620370371</c:v>
                </c:pt>
                <c:pt idx="61">
                  <c:v>43071.612650462965</c:v>
                </c:pt>
                <c:pt idx="62">
                  <c:v>43071.613136574073</c:v>
                </c:pt>
                <c:pt idx="63">
                  <c:v>43071.613217592596</c:v>
                </c:pt>
                <c:pt idx="64">
                  <c:v>43071.613217592596</c:v>
                </c:pt>
                <c:pt idx="65">
                  <c:v>43071.614675925928</c:v>
                </c:pt>
                <c:pt idx="66">
                  <c:v>43071.615127314813</c:v>
                </c:pt>
                <c:pt idx="67">
                  <c:v>43071.615613425929</c:v>
                </c:pt>
                <c:pt idx="68">
                  <c:v>43071.615925925929</c:v>
                </c:pt>
                <c:pt idx="69">
                  <c:v>43071.616006944445</c:v>
                </c:pt>
                <c:pt idx="70">
                  <c:v>43071.616087962961</c:v>
                </c:pt>
                <c:pt idx="71">
                  <c:v>43071.618402777778</c:v>
                </c:pt>
                <c:pt idx="72">
                  <c:v>43071.618715277778</c:v>
                </c:pt>
                <c:pt idx="73">
                  <c:v>43071.618796296294</c:v>
                </c:pt>
                <c:pt idx="74">
                  <c:v>43071.618969907409</c:v>
                </c:pt>
                <c:pt idx="75">
                  <c:v>43071.621192129627</c:v>
                </c:pt>
                <c:pt idx="76">
                  <c:v>43071.621504629627</c:v>
                </c:pt>
                <c:pt idx="77">
                  <c:v>43071.621840277781</c:v>
                </c:pt>
                <c:pt idx="78">
                  <c:v>43071.623981481483</c:v>
                </c:pt>
                <c:pt idx="79">
                  <c:v>43071.624293981484</c:v>
                </c:pt>
                <c:pt idx="80">
                  <c:v>43071.624374999999</c:v>
                </c:pt>
                <c:pt idx="81">
                  <c:v>43071.624722222223</c:v>
                </c:pt>
                <c:pt idx="82">
                  <c:v>43071.627083333333</c:v>
                </c:pt>
                <c:pt idx="83">
                  <c:v>43071.627164351848</c:v>
                </c:pt>
                <c:pt idx="84">
                  <c:v>43071.627592592595</c:v>
                </c:pt>
                <c:pt idx="85">
                  <c:v>43071.629560185182</c:v>
                </c:pt>
                <c:pt idx="86">
                  <c:v>43071.629872685182</c:v>
                </c:pt>
                <c:pt idx="87">
                  <c:v>43071.629953703705</c:v>
                </c:pt>
                <c:pt idx="88">
                  <c:v>43071.630474537036</c:v>
                </c:pt>
                <c:pt idx="89">
                  <c:v>43071.632662037038</c:v>
                </c:pt>
                <c:pt idx="90">
                  <c:v>43071.632743055554</c:v>
                </c:pt>
                <c:pt idx="91">
                  <c:v>43071.633344907408</c:v>
                </c:pt>
                <c:pt idx="92">
                  <c:v>43071.635138888887</c:v>
                </c:pt>
                <c:pt idx="93">
                  <c:v>43071.635451388887</c:v>
                </c:pt>
                <c:pt idx="94">
                  <c:v>43071.63553240741</c:v>
                </c:pt>
                <c:pt idx="95">
                  <c:v>43071.63622685185</c:v>
                </c:pt>
                <c:pt idx="96">
                  <c:v>43071.638240740744</c:v>
                </c:pt>
                <c:pt idx="97">
                  <c:v>43071.638321759259</c:v>
                </c:pt>
                <c:pt idx="98">
                  <c:v>43071.639097222222</c:v>
                </c:pt>
                <c:pt idx="99">
                  <c:v>43071.641030092593</c:v>
                </c:pt>
                <c:pt idx="100">
                  <c:v>43071.641597222224</c:v>
                </c:pt>
                <c:pt idx="101">
                  <c:v>43071.641979166663</c:v>
                </c:pt>
                <c:pt idx="102">
                  <c:v>43071.642013888886</c:v>
                </c:pt>
                <c:pt idx="103">
                  <c:v>43071.643819444442</c:v>
                </c:pt>
                <c:pt idx="104">
                  <c:v>43071.643900462965</c:v>
                </c:pt>
                <c:pt idx="105">
                  <c:v>43071.644803240742</c:v>
                </c:pt>
                <c:pt idx="106">
                  <c:v>43071.646608796298</c:v>
                </c:pt>
                <c:pt idx="107">
                  <c:v>43071.646689814814</c:v>
                </c:pt>
                <c:pt idx="108">
                  <c:v>43071.647592592592</c:v>
                </c:pt>
                <c:pt idx="109">
                  <c:v>43071.647731481484</c:v>
                </c:pt>
                <c:pt idx="110">
                  <c:v>43071.649398148147</c:v>
                </c:pt>
                <c:pt idx="111">
                  <c:v>43071.64947916667</c:v>
                </c:pt>
                <c:pt idx="112">
                  <c:v>43071.650381944448</c:v>
                </c:pt>
                <c:pt idx="113">
                  <c:v>43071.650601851848</c:v>
                </c:pt>
                <c:pt idx="114">
                  <c:v>43071.652187500003</c:v>
                </c:pt>
                <c:pt idx="115">
                  <c:v>43071.652268518519</c:v>
                </c:pt>
                <c:pt idx="116">
                  <c:v>43071.653483796297</c:v>
                </c:pt>
                <c:pt idx="117">
                  <c:v>43071.654976851853</c:v>
                </c:pt>
                <c:pt idx="118">
                  <c:v>43071.655057870368</c:v>
                </c:pt>
                <c:pt idx="119">
                  <c:v>43071.655960648146</c:v>
                </c:pt>
                <c:pt idx="120">
                  <c:v>43071.656365740739</c:v>
                </c:pt>
                <c:pt idx="121">
                  <c:v>43071.657766203702</c:v>
                </c:pt>
                <c:pt idx="122">
                  <c:v>43071.658750000002</c:v>
                </c:pt>
                <c:pt idx="123">
                  <c:v>43071.659236111111</c:v>
                </c:pt>
                <c:pt idx="124">
                  <c:v>43071.660555555558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7</c:v>
                </c:pt>
                <c:pt idx="1">
                  <c:v>678</c:v>
                </c:pt>
                <c:pt idx="2">
                  <c:v>1</c:v>
                </c:pt>
                <c:pt idx="3">
                  <c:v>3</c:v>
                </c:pt>
                <c:pt idx="4">
                  <c:v>678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678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678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678</c:v>
                </c:pt>
                <c:pt idx="22">
                  <c:v>29</c:v>
                </c:pt>
                <c:pt idx="23">
                  <c:v>14</c:v>
                </c:pt>
                <c:pt idx="24">
                  <c:v>0</c:v>
                </c:pt>
                <c:pt idx="25">
                  <c:v>5</c:v>
                </c:pt>
                <c:pt idx="26">
                  <c:v>678</c:v>
                </c:pt>
                <c:pt idx="27">
                  <c:v>0</c:v>
                </c:pt>
                <c:pt idx="28">
                  <c:v>16</c:v>
                </c:pt>
                <c:pt idx="29">
                  <c:v>0</c:v>
                </c:pt>
                <c:pt idx="30">
                  <c:v>0</c:v>
                </c:pt>
                <c:pt idx="31">
                  <c:v>678</c:v>
                </c:pt>
                <c:pt idx="32">
                  <c:v>16</c:v>
                </c:pt>
                <c:pt idx="33">
                  <c:v>54</c:v>
                </c:pt>
                <c:pt idx="34">
                  <c:v>41</c:v>
                </c:pt>
                <c:pt idx="35">
                  <c:v>19</c:v>
                </c:pt>
                <c:pt idx="36">
                  <c:v>678</c:v>
                </c:pt>
                <c:pt idx="37">
                  <c:v>32</c:v>
                </c:pt>
                <c:pt idx="38">
                  <c:v>25</c:v>
                </c:pt>
                <c:pt idx="39">
                  <c:v>678</c:v>
                </c:pt>
                <c:pt idx="40">
                  <c:v>15</c:v>
                </c:pt>
                <c:pt idx="41">
                  <c:v>25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678</c:v>
                </c:pt>
                <c:pt idx="46">
                  <c:v>24</c:v>
                </c:pt>
                <c:pt idx="47">
                  <c:v>23</c:v>
                </c:pt>
                <c:pt idx="48">
                  <c:v>0</c:v>
                </c:pt>
                <c:pt idx="49">
                  <c:v>0</c:v>
                </c:pt>
                <c:pt idx="50">
                  <c:v>678</c:v>
                </c:pt>
                <c:pt idx="51">
                  <c:v>0</c:v>
                </c:pt>
                <c:pt idx="52">
                  <c:v>18</c:v>
                </c:pt>
                <c:pt idx="53">
                  <c:v>46</c:v>
                </c:pt>
                <c:pt idx="54">
                  <c:v>0</c:v>
                </c:pt>
                <c:pt idx="55">
                  <c:v>0</c:v>
                </c:pt>
                <c:pt idx="56">
                  <c:v>678</c:v>
                </c:pt>
                <c:pt idx="57">
                  <c:v>18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6</c:v>
                </c:pt>
                <c:pt idx="63">
                  <c:v>678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5</c:v>
                </c:pt>
                <c:pt idx="68">
                  <c:v>0</c:v>
                </c:pt>
                <c:pt idx="69">
                  <c:v>11</c:v>
                </c:pt>
                <c:pt idx="70">
                  <c:v>678</c:v>
                </c:pt>
                <c:pt idx="71">
                  <c:v>0</c:v>
                </c:pt>
                <c:pt idx="72">
                  <c:v>6</c:v>
                </c:pt>
                <c:pt idx="73">
                  <c:v>0</c:v>
                </c:pt>
                <c:pt idx="74">
                  <c:v>678</c:v>
                </c:pt>
                <c:pt idx="75">
                  <c:v>0</c:v>
                </c:pt>
                <c:pt idx="76">
                  <c:v>2</c:v>
                </c:pt>
                <c:pt idx="77">
                  <c:v>678</c:v>
                </c:pt>
                <c:pt idx="78">
                  <c:v>22</c:v>
                </c:pt>
                <c:pt idx="79">
                  <c:v>18</c:v>
                </c:pt>
                <c:pt idx="80">
                  <c:v>0</c:v>
                </c:pt>
                <c:pt idx="81">
                  <c:v>678</c:v>
                </c:pt>
                <c:pt idx="82">
                  <c:v>0</c:v>
                </c:pt>
                <c:pt idx="83">
                  <c:v>0</c:v>
                </c:pt>
                <c:pt idx="84">
                  <c:v>678</c:v>
                </c:pt>
                <c:pt idx="85">
                  <c:v>24</c:v>
                </c:pt>
                <c:pt idx="86">
                  <c:v>0</c:v>
                </c:pt>
                <c:pt idx="87">
                  <c:v>38</c:v>
                </c:pt>
                <c:pt idx="88">
                  <c:v>678</c:v>
                </c:pt>
                <c:pt idx="89">
                  <c:v>1</c:v>
                </c:pt>
                <c:pt idx="90">
                  <c:v>0</c:v>
                </c:pt>
                <c:pt idx="91">
                  <c:v>678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678</c:v>
                </c:pt>
                <c:pt idx="96">
                  <c:v>0</c:v>
                </c:pt>
                <c:pt idx="97">
                  <c:v>0</c:v>
                </c:pt>
                <c:pt idx="98">
                  <c:v>678</c:v>
                </c:pt>
                <c:pt idx="99">
                  <c:v>0</c:v>
                </c:pt>
                <c:pt idx="100">
                  <c:v>0</c:v>
                </c:pt>
                <c:pt idx="101">
                  <c:v>678</c:v>
                </c:pt>
                <c:pt idx="102">
                  <c:v>0</c:v>
                </c:pt>
                <c:pt idx="103">
                  <c:v>0</c:v>
                </c:pt>
                <c:pt idx="104">
                  <c:v>3</c:v>
                </c:pt>
                <c:pt idx="105">
                  <c:v>0</c:v>
                </c:pt>
                <c:pt idx="106">
                  <c:v>0</c:v>
                </c:pt>
                <c:pt idx="107">
                  <c:v>41</c:v>
                </c:pt>
                <c:pt idx="108">
                  <c:v>4</c:v>
                </c:pt>
                <c:pt idx="109">
                  <c:v>678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678</c:v>
                </c:pt>
                <c:pt idx="114">
                  <c:v>7</c:v>
                </c:pt>
                <c:pt idx="115">
                  <c:v>0</c:v>
                </c:pt>
                <c:pt idx="116">
                  <c:v>678</c:v>
                </c:pt>
                <c:pt idx="117">
                  <c:v>4</c:v>
                </c:pt>
                <c:pt idx="118">
                  <c:v>0</c:v>
                </c:pt>
                <c:pt idx="119">
                  <c:v>0</c:v>
                </c:pt>
                <c:pt idx="120">
                  <c:v>678</c:v>
                </c:pt>
                <c:pt idx="121">
                  <c:v>17</c:v>
                </c:pt>
                <c:pt idx="122">
                  <c:v>0</c:v>
                </c:pt>
                <c:pt idx="123">
                  <c:v>678</c:v>
                </c:pt>
                <c:pt idx="124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74641728"/>
        <c:axId val="-147463465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prevLon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43071.578194444446</c:v>
                      </c:pt>
                      <c:pt idx="1">
                        <c:v>43071.578692129631</c:v>
                      </c:pt>
                      <c:pt idx="2">
                        <c:v>43071.579664351855</c:v>
                      </c:pt>
                      <c:pt idx="3">
                        <c:v>43071.579745370371</c:v>
                      </c:pt>
                      <c:pt idx="4">
                        <c:v>43071.581574074073</c:v>
                      </c:pt>
                      <c:pt idx="5">
                        <c:v>43071.581793981481</c:v>
                      </c:pt>
                      <c:pt idx="6">
                        <c:v>43071.582453703704</c:v>
                      </c:pt>
                      <c:pt idx="7">
                        <c:v>43071.58253472222</c:v>
                      </c:pt>
                      <c:pt idx="8">
                        <c:v>43071.583055555559</c:v>
                      </c:pt>
                      <c:pt idx="9">
                        <c:v>43071.584456018521</c:v>
                      </c:pt>
                      <c:pt idx="10">
                        <c:v>43071.585081018522</c:v>
                      </c:pt>
                      <c:pt idx="11">
                        <c:v>43071.585243055553</c:v>
                      </c:pt>
                      <c:pt idx="12">
                        <c:v>43071.585324074076</c:v>
                      </c:pt>
                      <c:pt idx="13">
                        <c:v>43071.586099537039</c:v>
                      </c:pt>
                      <c:pt idx="14">
                        <c:v>43071.587118055555</c:v>
                      </c:pt>
                      <c:pt idx="15">
                        <c:v>43071.587326388886</c:v>
                      </c:pt>
                      <c:pt idx="16">
                        <c:v>43071.58803240741</c:v>
                      </c:pt>
                      <c:pt idx="17">
                        <c:v>43071.588113425925</c:v>
                      </c:pt>
                      <c:pt idx="18">
                        <c:v>43071.588136574072</c:v>
                      </c:pt>
                      <c:pt idx="19">
                        <c:v>43071.589166666665</c:v>
                      </c:pt>
                      <c:pt idx="20">
                        <c:v>43071.590196759258</c:v>
                      </c:pt>
                      <c:pt idx="21">
                        <c:v>43071.590208333335</c:v>
                      </c:pt>
                      <c:pt idx="22">
                        <c:v>43071.590821759259</c:v>
                      </c:pt>
                      <c:pt idx="23">
                        <c:v>43071.590902777774</c:v>
                      </c:pt>
                      <c:pt idx="24">
                        <c:v>43071.591226851851</c:v>
                      </c:pt>
                      <c:pt idx="25">
                        <c:v>43071.592256944445</c:v>
                      </c:pt>
                      <c:pt idx="26">
                        <c:v>43071.593078703707</c:v>
                      </c:pt>
                      <c:pt idx="27">
                        <c:v>43071.593275462961</c:v>
                      </c:pt>
                      <c:pt idx="28">
                        <c:v>43071.593611111108</c:v>
                      </c:pt>
                      <c:pt idx="29">
                        <c:v>43071.594305555554</c:v>
                      </c:pt>
                      <c:pt idx="30">
                        <c:v>43071.595335648148</c:v>
                      </c:pt>
                      <c:pt idx="31">
                        <c:v>43071.595960648148</c:v>
                      </c:pt>
                      <c:pt idx="32">
                        <c:v>43071.596354166664</c:v>
                      </c:pt>
                      <c:pt idx="33">
                        <c:v>43071.596400462964</c:v>
                      </c:pt>
                      <c:pt idx="34">
                        <c:v>43071.59648148148</c:v>
                      </c:pt>
                      <c:pt idx="35">
                        <c:v>43071.597372685188</c:v>
                      </c:pt>
                      <c:pt idx="36">
                        <c:v>43071.59883101852</c:v>
                      </c:pt>
                      <c:pt idx="37">
                        <c:v>43071.599189814813</c:v>
                      </c:pt>
                      <c:pt idx="38">
                        <c:v>43071.599270833336</c:v>
                      </c:pt>
                      <c:pt idx="39">
                        <c:v>43071.601712962962</c:v>
                      </c:pt>
                      <c:pt idx="40">
                        <c:v>43071.601979166669</c:v>
                      </c:pt>
                      <c:pt idx="41">
                        <c:v>43071.602060185185</c:v>
                      </c:pt>
                      <c:pt idx="42">
                        <c:v>43071.602442129632</c:v>
                      </c:pt>
                      <c:pt idx="43">
                        <c:v>43071.603460648148</c:v>
                      </c:pt>
                      <c:pt idx="44">
                        <c:v>43071.604490740741</c:v>
                      </c:pt>
                      <c:pt idx="45">
                        <c:v>43071.604583333334</c:v>
                      </c:pt>
                      <c:pt idx="46">
                        <c:v>43071.604768518519</c:v>
                      </c:pt>
                      <c:pt idx="47">
                        <c:v>43071.604849537034</c:v>
                      </c:pt>
                      <c:pt idx="48">
                        <c:v>43071.605509259258</c:v>
                      </c:pt>
                      <c:pt idx="49">
                        <c:v>43071.606527777774</c:v>
                      </c:pt>
                      <c:pt idx="50">
                        <c:v>43071.607465277775</c:v>
                      </c:pt>
                      <c:pt idx="51">
                        <c:v>43071.607557870368</c:v>
                      </c:pt>
                      <c:pt idx="52">
                        <c:v>43071.607557870368</c:v>
                      </c:pt>
                      <c:pt idx="53">
                        <c:v>43071.607638888891</c:v>
                      </c:pt>
                      <c:pt idx="54">
                        <c:v>43071.608564814815</c:v>
                      </c:pt>
                      <c:pt idx="55">
                        <c:v>43071.609583333331</c:v>
                      </c:pt>
                      <c:pt idx="56">
                        <c:v>43071.610335648147</c:v>
                      </c:pt>
                      <c:pt idx="57">
                        <c:v>43071.610347222224</c:v>
                      </c:pt>
                      <c:pt idx="58">
                        <c:v>43071.61042824074</c:v>
                      </c:pt>
                      <c:pt idx="59">
                        <c:v>43071.610601851855</c:v>
                      </c:pt>
                      <c:pt idx="60">
                        <c:v>43071.611620370371</c:v>
                      </c:pt>
                      <c:pt idx="61">
                        <c:v>43071.612650462965</c:v>
                      </c:pt>
                      <c:pt idx="62">
                        <c:v>43071.613136574073</c:v>
                      </c:pt>
                      <c:pt idx="63">
                        <c:v>43071.613217592596</c:v>
                      </c:pt>
                      <c:pt idx="64">
                        <c:v>43071.613217592596</c:v>
                      </c:pt>
                      <c:pt idx="65">
                        <c:v>43071.614675925928</c:v>
                      </c:pt>
                      <c:pt idx="66">
                        <c:v>43071.615127314813</c:v>
                      </c:pt>
                      <c:pt idx="67">
                        <c:v>43071.615613425929</c:v>
                      </c:pt>
                      <c:pt idx="68">
                        <c:v>43071.615925925929</c:v>
                      </c:pt>
                      <c:pt idx="69">
                        <c:v>43071.616006944445</c:v>
                      </c:pt>
                      <c:pt idx="70">
                        <c:v>43071.616087962961</c:v>
                      </c:pt>
                      <c:pt idx="71">
                        <c:v>43071.618402777778</c:v>
                      </c:pt>
                      <c:pt idx="72">
                        <c:v>43071.618715277778</c:v>
                      </c:pt>
                      <c:pt idx="73">
                        <c:v>43071.618796296294</c:v>
                      </c:pt>
                      <c:pt idx="74">
                        <c:v>43071.618969907409</c:v>
                      </c:pt>
                      <c:pt idx="75">
                        <c:v>43071.621192129627</c:v>
                      </c:pt>
                      <c:pt idx="76">
                        <c:v>43071.621504629627</c:v>
                      </c:pt>
                      <c:pt idx="77">
                        <c:v>43071.621840277781</c:v>
                      </c:pt>
                      <c:pt idx="78">
                        <c:v>43071.623981481483</c:v>
                      </c:pt>
                      <c:pt idx="79">
                        <c:v>43071.624293981484</c:v>
                      </c:pt>
                      <c:pt idx="80">
                        <c:v>43071.624374999999</c:v>
                      </c:pt>
                      <c:pt idx="81">
                        <c:v>43071.624722222223</c:v>
                      </c:pt>
                      <c:pt idx="82">
                        <c:v>43071.627083333333</c:v>
                      </c:pt>
                      <c:pt idx="83">
                        <c:v>43071.627164351848</c:v>
                      </c:pt>
                      <c:pt idx="84">
                        <c:v>43071.627592592595</c:v>
                      </c:pt>
                      <c:pt idx="85">
                        <c:v>43071.629560185182</c:v>
                      </c:pt>
                      <c:pt idx="86">
                        <c:v>43071.629872685182</c:v>
                      </c:pt>
                      <c:pt idx="87">
                        <c:v>43071.629953703705</c:v>
                      </c:pt>
                      <c:pt idx="88">
                        <c:v>43071.630474537036</c:v>
                      </c:pt>
                      <c:pt idx="89">
                        <c:v>43071.632662037038</c:v>
                      </c:pt>
                      <c:pt idx="90">
                        <c:v>43071.632743055554</c:v>
                      </c:pt>
                      <c:pt idx="91">
                        <c:v>43071.633344907408</c:v>
                      </c:pt>
                      <c:pt idx="92">
                        <c:v>43071.635138888887</c:v>
                      </c:pt>
                      <c:pt idx="93">
                        <c:v>43071.635451388887</c:v>
                      </c:pt>
                      <c:pt idx="94">
                        <c:v>43071.63553240741</c:v>
                      </c:pt>
                      <c:pt idx="95">
                        <c:v>43071.63622685185</c:v>
                      </c:pt>
                      <c:pt idx="96">
                        <c:v>43071.638240740744</c:v>
                      </c:pt>
                      <c:pt idx="97">
                        <c:v>43071.638321759259</c:v>
                      </c:pt>
                      <c:pt idx="98">
                        <c:v>43071.639097222222</c:v>
                      </c:pt>
                      <c:pt idx="99">
                        <c:v>43071.641030092593</c:v>
                      </c:pt>
                      <c:pt idx="100">
                        <c:v>43071.641597222224</c:v>
                      </c:pt>
                      <c:pt idx="101">
                        <c:v>43071.641979166663</c:v>
                      </c:pt>
                      <c:pt idx="102">
                        <c:v>43071.642013888886</c:v>
                      </c:pt>
                      <c:pt idx="103">
                        <c:v>43071.643819444442</c:v>
                      </c:pt>
                      <c:pt idx="104">
                        <c:v>43071.643900462965</c:v>
                      </c:pt>
                      <c:pt idx="105">
                        <c:v>43071.644803240742</c:v>
                      </c:pt>
                      <c:pt idx="106">
                        <c:v>43071.646608796298</c:v>
                      </c:pt>
                      <c:pt idx="107">
                        <c:v>43071.646689814814</c:v>
                      </c:pt>
                      <c:pt idx="108">
                        <c:v>43071.647592592592</c:v>
                      </c:pt>
                      <c:pt idx="109">
                        <c:v>43071.647731481484</c:v>
                      </c:pt>
                      <c:pt idx="110">
                        <c:v>43071.649398148147</c:v>
                      </c:pt>
                      <c:pt idx="111">
                        <c:v>43071.64947916667</c:v>
                      </c:pt>
                      <c:pt idx="112">
                        <c:v>43071.650381944448</c:v>
                      </c:pt>
                      <c:pt idx="113">
                        <c:v>43071.650601851848</c:v>
                      </c:pt>
                      <c:pt idx="114">
                        <c:v>43071.652187500003</c:v>
                      </c:pt>
                      <c:pt idx="115">
                        <c:v>43071.652268518519</c:v>
                      </c:pt>
                      <c:pt idx="116">
                        <c:v>43071.653483796297</c:v>
                      </c:pt>
                      <c:pt idx="117">
                        <c:v>43071.654976851853</c:v>
                      </c:pt>
                      <c:pt idx="118">
                        <c:v>43071.655057870368</c:v>
                      </c:pt>
                      <c:pt idx="119">
                        <c:v>43071.655960648146</c:v>
                      </c:pt>
                      <c:pt idx="120">
                        <c:v>43071.656365740739</c:v>
                      </c:pt>
                      <c:pt idx="121">
                        <c:v>43071.657766203702</c:v>
                      </c:pt>
                      <c:pt idx="122">
                        <c:v>43071.658750000002</c:v>
                      </c:pt>
                      <c:pt idx="123">
                        <c:v>43071.659236111111</c:v>
                      </c:pt>
                      <c:pt idx="124">
                        <c:v>43071.660555555558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2.5</c:v>
                      </c:pt>
                      <c:pt idx="1">
                        <c:v>20.2</c:v>
                      </c:pt>
                      <c:pt idx="2">
                        <c:v>1</c:v>
                      </c:pt>
                      <c:pt idx="3">
                        <c:v>1.1000000000000001</c:v>
                      </c:pt>
                      <c:pt idx="4">
                        <c:v>20.2</c:v>
                      </c:pt>
                      <c:pt idx="5">
                        <c:v>2.1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2.2000000000000002</c:v>
                      </c:pt>
                      <c:pt idx="9">
                        <c:v>20.2</c:v>
                      </c:pt>
                      <c:pt idx="10">
                        <c:v>2.5</c:v>
                      </c:pt>
                      <c:pt idx="11">
                        <c:v>1.5</c:v>
                      </c:pt>
                      <c:pt idx="12">
                        <c:v>1.4</c:v>
                      </c:pt>
                      <c:pt idx="13">
                        <c:v>2.2999999999999998</c:v>
                      </c:pt>
                      <c:pt idx="14">
                        <c:v>0</c:v>
                      </c:pt>
                      <c:pt idx="15">
                        <c:v>20.2</c:v>
                      </c:pt>
                      <c:pt idx="16">
                        <c:v>0.9</c:v>
                      </c:pt>
                      <c:pt idx="17">
                        <c:v>1</c:v>
                      </c:pt>
                      <c:pt idx="18">
                        <c:v>0.8</c:v>
                      </c:pt>
                      <c:pt idx="19">
                        <c:v>0.9</c:v>
                      </c:pt>
                      <c:pt idx="20">
                        <c:v>0.7</c:v>
                      </c:pt>
                      <c:pt idx="21">
                        <c:v>20.2</c:v>
                      </c:pt>
                      <c:pt idx="22">
                        <c:v>0.8</c:v>
                      </c:pt>
                      <c:pt idx="23">
                        <c:v>1.1000000000000001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20.2</c:v>
                      </c:pt>
                      <c:pt idx="27">
                        <c:v>0.9</c:v>
                      </c:pt>
                      <c:pt idx="28">
                        <c:v>0.8</c:v>
                      </c:pt>
                      <c:pt idx="29">
                        <c:v>1.3</c:v>
                      </c:pt>
                      <c:pt idx="30">
                        <c:v>0.9</c:v>
                      </c:pt>
                      <c:pt idx="31">
                        <c:v>20.2</c:v>
                      </c:pt>
                      <c:pt idx="32">
                        <c:v>0.7</c:v>
                      </c:pt>
                      <c:pt idx="33">
                        <c:v>0.8</c:v>
                      </c:pt>
                      <c:pt idx="34">
                        <c:v>0.8</c:v>
                      </c:pt>
                      <c:pt idx="35">
                        <c:v>0.7</c:v>
                      </c:pt>
                      <c:pt idx="36">
                        <c:v>20.2</c:v>
                      </c:pt>
                      <c:pt idx="37">
                        <c:v>0.8</c:v>
                      </c:pt>
                      <c:pt idx="38">
                        <c:v>0.9</c:v>
                      </c:pt>
                      <c:pt idx="39">
                        <c:v>20.2</c:v>
                      </c:pt>
                      <c:pt idx="40">
                        <c:v>0.8</c:v>
                      </c:pt>
                      <c:pt idx="41">
                        <c:v>0.9</c:v>
                      </c:pt>
                      <c:pt idx="42">
                        <c:v>0.8</c:v>
                      </c:pt>
                      <c:pt idx="43">
                        <c:v>1</c:v>
                      </c:pt>
                      <c:pt idx="44">
                        <c:v>0.7</c:v>
                      </c:pt>
                      <c:pt idx="45">
                        <c:v>20.2</c:v>
                      </c:pt>
                      <c:pt idx="46">
                        <c:v>0.8</c:v>
                      </c:pt>
                      <c:pt idx="47">
                        <c:v>0.9</c:v>
                      </c:pt>
                      <c:pt idx="48">
                        <c:v>0.6</c:v>
                      </c:pt>
                      <c:pt idx="49">
                        <c:v>0.7</c:v>
                      </c:pt>
                      <c:pt idx="50">
                        <c:v>20.2</c:v>
                      </c:pt>
                      <c:pt idx="51">
                        <c:v>0.6</c:v>
                      </c:pt>
                      <c:pt idx="52">
                        <c:v>0.8</c:v>
                      </c:pt>
                      <c:pt idx="53">
                        <c:v>0.9</c:v>
                      </c:pt>
                      <c:pt idx="54">
                        <c:v>0.7</c:v>
                      </c:pt>
                      <c:pt idx="55">
                        <c:v>0.7</c:v>
                      </c:pt>
                      <c:pt idx="56">
                        <c:v>20.2</c:v>
                      </c:pt>
                      <c:pt idx="57">
                        <c:v>1.6</c:v>
                      </c:pt>
                      <c:pt idx="58">
                        <c:v>0.9</c:v>
                      </c:pt>
                      <c:pt idx="59">
                        <c:v>1</c:v>
                      </c:pt>
                      <c:pt idx="60">
                        <c:v>0.8</c:v>
                      </c:pt>
                      <c:pt idx="61">
                        <c:v>0.6</c:v>
                      </c:pt>
                      <c:pt idx="62">
                        <c:v>1.1000000000000001</c:v>
                      </c:pt>
                      <c:pt idx="63">
                        <c:v>20.2</c:v>
                      </c:pt>
                      <c:pt idx="64">
                        <c:v>1.1000000000000001</c:v>
                      </c:pt>
                      <c:pt idx="65">
                        <c:v>0.8</c:v>
                      </c:pt>
                      <c:pt idx="66">
                        <c:v>0.9</c:v>
                      </c:pt>
                      <c:pt idx="67">
                        <c:v>0.8</c:v>
                      </c:pt>
                      <c:pt idx="68">
                        <c:v>1</c:v>
                      </c:pt>
                      <c:pt idx="69">
                        <c:v>1.1000000000000001</c:v>
                      </c:pt>
                      <c:pt idx="70">
                        <c:v>20.2</c:v>
                      </c:pt>
                      <c:pt idx="71">
                        <c:v>1.1000000000000001</c:v>
                      </c:pt>
                      <c:pt idx="72">
                        <c:v>1</c:v>
                      </c:pt>
                      <c:pt idx="73">
                        <c:v>0.9</c:v>
                      </c:pt>
                      <c:pt idx="74">
                        <c:v>20.2</c:v>
                      </c:pt>
                      <c:pt idx="75">
                        <c:v>0.9</c:v>
                      </c:pt>
                      <c:pt idx="76">
                        <c:v>0.9</c:v>
                      </c:pt>
                      <c:pt idx="77">
                        <c:v>20.2</c:v>
                      </c:pt>
                      <c:pt idx="78">
                        <c:v>0.7</c:v>
                      </c:pt>
                      <c:pt idx="79">
                        <c:v>1.5</c:v>
                      </c:pt>
                      <c:pt idx="80">
                        <c:v>1</c:v>
                      </c:pt>
                      <c:pt idx="81">
                        <c:v>20.2</c:v>
                      </c:pt>
                      <c:pt idx="82">
                        <c:v>1.4</c:v>
                      </c:pt>
                      <c:pt idx="83">
                        <c:v>2.2000000000000002</c:v>
                      </c:pt>
                      <c:pt idx="84">
                        <c:v>20.2</c:v>
                      </c:pt>
                      <c:pt idx="85">
                        <c:v>0.7</c:v>
                      </c:pt>
                      <c:pt idx="86">
                        <c:v>1.1000000000000001</c:v>
                      </c:pt>
                      <c:pt idx="87">
                        <c:v>1.5</c:v>
                      </c:pt>
                      <c:pt idx="88">
                        <c:v>20.2</c:v>
                      </c:pt>
                      <c:pt idx="89">
                        <c:v>1.6</c:v>
                      </c:pt>
                      <c:pt idx="90">
                        <c:v>2.2999999999999998</c:v>
                      </c:pt>
                      <c:pt idx="91">
                        <c:v>20.2</c:v>
                      </c:pt>
                      <c:pt idx="92">
                        <c:v>0.9</c:v>
                      </c:pt>
                      <c:pt idx="93">
                        <c:v>1.6</c:v>
                      </c:pt>
                      <c:pt idx="94">
                        <c:v>2.1</c:v>
                      </c:pt>
                      <c:pt idx="95">
                        <c:v>20.2</c:v>
                      </c:pt>
                      <c:pt idx="96">
                        <c:v>1.5</c:v>
                      </c:pt>
                      <c:pt idx="97">
                        <c:v>1.8</c:v>
                      </c:pt>
                      <c:pt idx="98">
                        <c:v>20.2</c:v>
                      </c:pt>
                      <c:pt idx="99">
                        <c:v>1.3</c:v>
                      </c:pt>
                      <c:pt idx="100">
                        <c:v>0.9</c:v>
                      </c:pt>
                      <c:pt idx="101">
                        <c:v>20.2</c:v>
                      </c:pt>
                      <c:pt idx="102">
                        <c:v>0.9</c:v>
                      </c:pt>
                      <c:pt idx="103">
                        <c:v>1.4</c:v>
                      </c:pt>
                      <c:pt idx="104">
                        <c:v>1.8</c:v>
                      </c:pt>
                      <c:pt idx="105">
                        <c:v>0.8</c:v>
                      </c:pt>
                      <c:pt idx="106">
                        <c:v>1.3</c:v>
                      </c:pt>
                      <c:pt idx="107">
                        <c:v>2.1</c:v>
                      </c:pt>
                      <c:pt idx="108">
                        <c:v>0.9</c:v>
                      </c:pt>
                      <c:pt idx="109">
                        <c:v>20.2</c:v>
                      </c:pt>
                      <c:pt idx="110">
                        <c:v>1.2</c:v>
                      </c:pt>
                      <c:pt idx="111">
                        <c:v>1.7</c:v>
                      </c:pt>
                      <c:pt idx="112">
                        <c:v>1.1000000000000001</c:v>
                      </c:pt>
                      <c:pt idx="113">
                        <c:v>20.2</c:v>
                      </c:pt>
                      <c:pt idx="114">
                        <c:v>1.3</c:v>
                      </c:pt>
                      <c:pt idx="115">
                        <c:v>1.7</c:v>
                      </c:pt>
                      <c:pt idx="116">
                        <c:v>20.2</c:v>
                      </c:pt>
                      <c:pt idx="117">
                        <c:v>1.2</c:v>
                      </c:pt>
                      <c:pt idx="118">
                        <c:v>1.7</c:v>
                      </c:pt>
                      <c:pt idx="119">
                        <c:v>0.8</c:v>
                      </c:pt>
                      <c:pt idx="120">
                        <c:v>20.2</c:v>
                      </c:pt>
                      <c:pt idx="121">
                        <c:v>1.3</c:v>
                      </c:pt>
                      <c:pt idx="122">
                        <c:v>0.8</c:v>
                      </c:pt>
                      <c:pt idx="123">
                        <c:v>20.2</c:v>
                      </c:pt>
                      <c:pt idx="124">
                        <c:v>1.2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-13026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474635744"/>
        <c:crossesAt val="-5"/>
        <c:crossBetween val="midCat"/>
        <c:majorUnit val="0.25"/>
        <c:minorUnit val="4.1666667000000018E-2"/>
      </c:valAx>
      <c:valAx>
        <c:axId val="-147463574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302660000"/>
        <c:crosses val="autoZero"/>
        <c:crossBetween val="midCat"/>
      </c:valAx>
      <c:valAx>
        <c:axId val="-1474634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474641728"/>
        <c:crosses val="max"/>
        <c:crossBetween val="midCat"/>
      </c:valAx>
      <c:valAx>
        <c:axId val="-147464172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47463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6" workbookViewId="0">
      <selection activeCell="C8" sqref="C8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64</v>
      </c>
    </row>
    <row r="7" spans="1:4" x14ac:dyDescent="0.3">
      <c r="B7" s="2"/>
      <c r="C7" s="3"/>
    </row>
    <row r="8" spans="1:4" x14ac:dyDescent="0.3">
      <c r="B8" s="2" t="s">
        <v>8</v>
      </c>
      <c r="C8" s="3" t="s">
        <v>318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https://junioriot2017test.data.thethingsnetwork.org/api/v2/query?last=2h</v>
      </c>
    </row>
    <row r="10" spans="1:4" x14ac:dyDescent="0.3">
      <c r="A10" s="1" t="s">
        <v>4</v>
      </c>
    </row>
    <row r="13" spans="1:4" x14ac:dyDescent="0.3">
      <c r="C13" s="17">
        <f>MIN(data!B:B)</f>
        <v>43071.578194444446</v>
      </c>
      <c r="D13" s="15" t="s">
        <v>21</v>
      </c>
    </row>
    <row r="14" spans="1:4" x14ac:dyDescent="0.3">
      <c r="C14" s="17">
        <f>MAX(data!B:B)</f>
        <v>43071.660555555558</v>
      </c>
      <c r="D14" s="15" t="s">
        <v>20</v>
      </c>
    </row>
    <row r="17" spans="2:3" ht="199.95" customHeight="1" x14ac:dyDescent="0.3">
      <c r="B17" s="2" t="s">
        <v>6</v>
      </c>
      <c r="C17" s="4" t="s">
        <v>477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B126"/>
  <sheetViews>
    <sheetView tabSelected="1" workbookViewId="0">
      <pane ySplit="1" topLeftCell="A107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88671875" customWidth="1"/>
    <col min="3" max="3" width="20.88671875" customWidth="1"/>
    <col min="4" max="4" width="6" customWidth="1"/>
    <col min="5" max="5" width="12.21875" bestFit="1" customWidth="1"/>
    <col min="6" max="6" width="13.33203125" bestFit="1" customWidth="1"/>
    <col min="7" max="7" width="12" bestFit="1" customWidth="1"/>
    <col min="8" max="9" width="7.77734375" bestFit="1" customWidth="1"/>
    <col min="10" max="11" width="12" bestFit="1" customWidth="1"/>
    <col min="12" max="12" width="7" customWidth="1"/>
  </cols>
  <sheetData>
    <row r="1" spans="1:28" s="6" customFormat="1" ht="13.95" customHeight="1" x14ac:dyDescent="0.3">
      <c r="A1" s="16" t="s">
        <v>232</v>
      </c>
      <c r="B1" s="6" t="s">
        <v>9</v>
      </c>
      <c r="C1" s="6" t="s">
        <v>10</v>
      </c>
      <c r="D1" s="6" t="s">
        <v>230</v>
      </c>
      <c r="E1" s="6" t="s">
        <v>11</v>
      </c>
      <c r="F1" s="7" t="s">
        <v>12</v>
      </c>
      <c r="G1" s="7" t="s">
        <v>13</v>
      </c>
      <c r="H1" s="8" t="s">
        <v>14</v>
      </c>
      <c r="I1" s="9" t="s">
        <v>110</v>
      </c>
      <c r="J1" s="6" t="s">
        <v>108</v>
      </c>
      <c r="K1" s="6" t="s">
        <v>109</v>
      </c>
      <c r="L1" s="9" t="s">
        <v>220</v>
      </c>
      <c r="M1" s="6" t="s">
        <v>221</v>
      </c>
      <c r="N1" s="9" t="s">
        <v>16</v>
      </c>
      <c r="O1" s="6" t="s">
        <v>111</v>
      </c>
      <c r="P1" s="10" t="s">
        <v>17</v>
      </c>
      <c r="Q1" s="11" t="s">
        <v>112</v>
      </c>
      <c r="R1" s="6" t="s">
        <v>113</v>
      </c>
      <c r="S1" s="6" t="s">
        <v>231</v>
      </c>
      <c r="T1" s="6" t="s">
        <v>114</v>
      </c>
      <c r="U1" s="6" t="s">
        <v>222</v>
      </c>
      <c r="V1" s="6" t="s">
        <v>223</v>
      </c>
      <c r="W1" s="6" t="s">
        <v>224</v>
      </c>
      <c r="X1" s="6" t="s">
        <v>225</v>
      </c>
      <c r="Y1" s="6" t="s">
        <v>226</v>
      </c>
      <c r="Z1" s="6" t="s">
        <v>227</v>
      </c>
      <c r="AA1" s="6" t="s">
        <v>228</v>
      </c>
      <c r="AB1" s="6" t="s">
        <v>229</v>
      </c>
    </row>
    <row r="2" spans="1:28" ht="13.95" customHeight="1" x14ac:dyDescent="0.3">
      <c r="A2" t="s">
        <v>478</v>
      </c>
      <c r="B2" s="13">
        <v>43071.578194444446</v>
      </c>
      <c r="C2" t="s">
        <v>233</v>
      </c>
      <c r="D2">
        <v>2</v>
      </c>
      <c r="E2" t="s">
        <v>234</v>
      </c>
      <c r="F2">
        <v>52.638381876849003</v>
      </c>
      <c r="G2">
        <v>4.7497311085302201</v>
      </c>
      <c r="H2">
        <v>7</v>
      </c>
      <c r="I2">
        <v>2.5</v>
      </c>
      <c r="J2">
        <v>52.638435521032498</v>
      </c>
      <c r="K2">
        <v>4.7497525662035898</v>
      </c>
      <c r="L2">
        <v>3</v>
      </c>
      <c r="M2">
        <v>1.9</v>
      </c>
      <c r="N2">
        <v>0</v>
      </c>
      <c r="O2">
        <v>4.26</v>
      </c>
      <c r="P2">
        <v>-7</v>
      </c>
      <c r="Q2">
        <v>225</v>
      </c>
      <c r="R2">
        <v>0</v>
      </c>
      <c r="S2">
        <v>8</v>
      </c>
      <c r="T2">
        <v>1</v>
      </c>
      <c r="U2">
        <v>0</v>
      </c>
      <c r="V2">
        <v>0</v>
      </c>
      <c r="W2">
        <v>-90</v>
      </c>
      <c r="X2">
        <v>-180</v>
      </c>
      <c r="Y2">
        <v>0</v>
      </c>
      <c r="Z2">
        <v>0</v>
      </c>
      <c r="AA2">
        <v>0</v>
      </c>
      <c r="AB2">
        <v>0</v>
      </c>
    </row>
    <row r="3" spans="1:28" ht="13.95" customHeight="1" x14ac:dyDescent="0.3">
      <c r="A3" t="s">
        <v>235</v>
      </c>
      <c r="B3" s="13">
        <v>43071.578692129631</v>
      </c>
      <c r="C3" t="s">
        <v>65</v>
      </c>
      <c r="D3">
        <v>332</v>
      </c>
      <c r="E3" t="s">
        <v>236</v>
      </c>
      <c r="F3" s="37">
        <v>-5.36441834242396E-6</v>
      </c>
      <c r="G3" s="37">
        <v>-1.07288366848479E-5</v>
      </c>
      <c r="H3">
        <v>678</v>
      </c>
      <c r="I3">
        <v>20.2</v>
      </c>
      <c r="J3" s="37">
        <v>-5.36441834242396E-6</v>
      </c>
      <c r="K3" s="37">
        <v>-1.07288366848479E-5</v>
      </c>
      <c r="L3">
        <v>678</v>
      </c>
      <c r="M3">
        <v>20.2</v>
      </c>
      <c r="N3">
        <v>0</v>
      </c>
      <c r="O3">
        <v>4.18</v>
      </c>
      <c r="P3">
        <v>-7</v>
      </c>
      <c r="Q3">
        <v>225</v>
      </c>
      <c r="R3">
        <v>0</v>
      </c>
      <c r="S3">
        <v>5</v>
      </c>
      <c r="T3">
        <v>1</v>
      </c>
      <c r="U3">
        <v>0</v>
      </c>
      <c r="V3">
        <v>0</v>
      </c>
      <c r="W3">
        <v>-90</v>
      </c>
      <c r="X3">
        <v>-180</v>
      </c>
      <c r="Y3">
        <v>0</v>
      </c>
      <c r="Z3">
        <v>0</v>
      </c>
      <c r="AA3">
        <v>0</v>
      </c>
      <c r="AB3">
        <v>0</v>
      </c>
    </row>
    <row r="4" spans="1:28" ht="13.95" customHeight="1" x14ac:dyDescent="0.3">
      <c r="A4" t="s">
        <v>237</v>
      </c>
      <c r="B4" s="13">
        <v>43071.579664351855</v>
      </c>
      <c r="C4" t="s">
        <v>106</v>
      </c>
      <c r="D4">
        <v>5</v>
      </c>
      <c r="E4" t="s">
        <v>238</v>
      </c>
      <c r="F4">
        <v>52.638456978705896</v>
      </c>
      <c r="G4">
        <v>4.7496238201632002</v>
      </c>
      <c r="H4">
        <v>1</v>
      </c>
      <c r="I4">
        <v>1</v>
      </c>
      <c r="J4">
        <v>52.638392605685702</v>
      </c>
      <c r="K4">
        <v>4.7497525662035898</v>
      </c>
      <c r="L4">
        <v>0</v>
      </c>
      <c r="M4">
        <v>1.1000000000000001</v>
      </c>
      <c r="N4">
        <v>1.1000000000000001</v>
      </c>
      <c r="O4">
        <v>4.0199999999999996</v>
      </c>
      <c r="P4">
        <v>-9</v>
      </c>
      <c r="Q4">
        <v>225</v>
      </c>
      <c r="R4">
        <v>0</v>
      </c>
      <c r="S4">
        <v>1</v>
      </c>
      <c r="T4">
        <v>1</v>
      </c>
      <c r="U4">
        <v>0</v>
      </c>
      <c r="V4">
        <v>0</v>
      </c>
      <c r="W4">
        <v>-90</v>
      </c>
      <c r="X4">
        <v>-180</v>
      </c>
      <c r="Y4">
        <v>0</v>
      </c>
      <c r="Z4">
        <v>0</v>
      </c>
      <c r="AA4">
        <v>0</v>
      </c>
      <c r="AB4">
        <v>0</v>
      </c>
    </row>
    <row r="5" spans="1:28" ht="13.95" customHeight="1" x14ac:dyDescent="0.3">
      <c r="A5" t="s">
        <v>239</v>
      </c>
      <c r="B5" s="13">
        <v>43071.579745370371</v>
      </c>
      <c r="C5" t="s">
        <v>107</v>
      </c>
      <c r="D5">
        <v>370</v>
      </c>
      <c r="E5" t="s">
        <v>240</v>
      </c>
      <c r="F5">
        <v>52.638403334522401</v>
      </c>
      <c r="G5">
        <v>4.7497525662035898</v>
      </c>
      <c r="H5">
        <v>3</v>
      </c>
      <c r="I5">
        <v>1.1000000000000001</v>
      </c>
      <c r="J5">
        <v>52.638564267072901</v>
      </c>
      <c r="K5">
        <v>4.7495379894696104</v>
      </c>
      <c r="L5">
        <v>6</v>
      </c>
      <c r="M5">
        <v>1.2</v>
      </c>
      <c r="N5">
        <v>0</v>
      </c>
      <c r="O5">
        <v>3.78</v>
      </c>
      <c r="P5">
        <v>-8</v>
      </c>
      <c r="Q5">
        <v>225</v>
      </c>
      <c r="R5">
        <v>0</v>
      </c>
      <c r="S5">
        <v>3</v>
      </c>
      <c r="T5">
        <v>1</v>
      </c>
      <c r="U5">
        <v>0</v>
      </c>
      <c r="V5">
        <v>0</v>
      </c>
      <c r="W5">
        <v>-90</v>
      </c>
      <c r="X5">
        <v>-180</v>
      </c>
      <c r="Y5">
        <v>0</v>
      </c>
      <c r="Z5">
        <v>0</v>
      </c>
      <c r="AA5">
        <v>0</v>
      </c>
      <c r="AB5">
        <v>0</v>
      </c>
    </row>
    <row r="6" spans="1:28" ht="13.95" customHeight="1" x14ac:dyDescent="0.3">
      <c r="A6" t="s">
        <v>241</v>
      </c>
      <c r="B6" s="13">
        <v>43071.581574074073</v>
      </c>
      <c r="C6" t="s">
        <v>65</v>
      </c>
      <c r="D6">
        <v>333</v>
      </c>
      <c r="E6" t="s">
        <v>242</v>
      </c>
      <c r="F6" s="37">
        <v>-5.36441834242396E-6</v>
      </c>
      <c r="G6" s="37">
        <v>-1.07288366848479E-5</v>
      </c>
      <c r="H6">
        <v>678</v>
      </c>
      <c r="I6">
        <v>20.2</v>
      </c>
      <c r="J6" s="37">
        <v>-5.36441834242396E-6</v>
      </c>
      <c r="K6" s="37">
        <v>-1.07288366848479E-5</v>
      </c>
      <c r="L6">
        <v>678</v>
      </c>
      <c r="M6">
        <v>20.2</v>
      </c>
      <c r="N6">
        <v>0</v>
      </c>
      <c r="O6">
        <v>4.18</v>
      </c>
      <c r="P6">
        <v>-7</v>
      </c>
      <c r="Q6">
        <v>225</v>
      </c>
      <c r="R6">
        <v>0</v>
      </c>
      <c r="S6">
        <v>5</v>
      </c>
      <c r="T6">
        <v>1</v>
      </c>
      <c r="U6">
        <v>0</v>
      </c>
      <c r="V6">
        <v>0</v>
      </c>
      <c r="W6">
        <v>-90</v>
      </c>
      <c r="X6">
        <v>-180</v>
      </c>
      <c r="Y6">
        <v>0</v>
      </c>
      <c r="Z6">
        <v>0</v>
      </c>
      <c r="AA6">
        <v>0</v>
      </c>
      <c r="AB6">
        <v>0</v>
      </c>
    </row>
    <row r="7" spans="1:28" ht="13.95" customHeight="1" x14ac:dyDescent="0.3">
      <c r="A7" t="s">
        <v>243</v>
      </c>
      <c r="B7" s="13">
        <v>43071.581793981481</v>
      </c>
      <c r="C7" t="s">
        <v>233</v>
      </c>
      <c r="D7">
        <v>0</v>
      </c>
      <c r="E7" t="s">
        <v>244</v>
      </c>
      <c r="F7">
        <v>52.638371148012297</v>
      </c>
      <c r="G7">
        <v>4.7498169392238196</v>
      </c>
      <c r="H7">
        <v>10</v>
      </c>
      <c r="I7">
        <v>2.1</v>
      </c>
      <c r="J7">
        <v>-90</v>
      </c>
      <c r="K7">
        <v>-180</v>
      </c>
      <c r="L7">
        <v>0</v>
      </c>
      <c r="M7">
        <v>0</v>
      </c>
      <c r="N7">
        <v>0</v>
      </c>
      <c r="O7">
        <v>4.12</v>
      </c>
      <c r="P7">
        <v>-9</v>
      </c>
      <c r="Q7">
        <v>225</v>
      </c>
      <c r="R7">
        <v>0</v>
      </c>
      <c r="S7">
        <v>8</v>
      </c>
      <c r="T7">
        <v>1</v>
      </c>
      <c r="U7">
        <v>0</v>
      </c>
      <c r="V7">
        <v>0</v>
      </c>
      <c r="W7">
        <v>-90</v>
      </c>
      <c r="X7">
        <v>-180</v>
      </c>
      <c r="Y7">
        <v>0</v>
      </c>
      <c r="Z7">
        <v>0</v>
      </c>
      <c r="AA7">
        <v>0</v>
      </c>
      <c r="AB7">
        <v>0</v>
      </c>
    </row>
    <row r="8" spans="1:28" ht="13.95" customHeight="1" x14ac:dyDescent="0.3">
      <c r="A8" t="s">
        <v>245</v>
      </c>
      <c r="B8" s="13">
        <v>43071.582453703704</v>
      </c>
      <c r="C8" t="s">
        <v>106</v>
      </c>
      <c r="D8">
        <v>6</v>
      </c>
      <c r="E8" t="s">
        <v>246</v>
      </c>
      <c r="F8">
        <v>52.638403334522401</v>
      </c>
      <c r="G8">
        <v>4.7497740238770199</v>
      </c>
      <c r="H8">
        <v>0</v>
      </c>
      <c r="I8">
        <v>1</v>
      </c>
      <c r="J8">
        <v>52.638456978705896</v>
      </c>
      <c r="K8">
        <v>4.7496238201632002</v>
      </c>
      <c r="L8">
        <v>1</v>
      </c>
      <c r="M8">
        <v>1</v>
      </c>
      <c r="N8">
        <v>1.1000000000000001</v>
      </c>
      <c r="O8">
        <v>3.98</v>
      </c>
      <c r="P8">
        <v>-9</v>
      </c>
      <c r="Q8">
        <v>225</v>
      </c>
      <c r="R8">
        <v>0</v>
      </c>
      <c r="S8">
        <v>1</v>
      </c>
      <c r="T8">
        <v>1</v>
      </c>
      <c r="U8">
        <v>0</v>
      </c>
      <c r="V8">
        <v>0</v>
      </c>
      <c r="W8">
        <v>-90</v>
      </c>
      <c r="X8">
        <v>-180</v>
      </c>
      <c r="Y8">
        <v>0</v>
      </c>
      <c r="Z8">
        <v>0</v>
      </c>
      <c r="AA8">
        <v>0</v>
      </c>
      <c r="AB8">
        <v>0</v>
      </c>
    </row>
    <row r="9" spans="1:28" ht="13.95" customHeight="1" x14ac:dyDescent="0.3">
      <c r="A9" t="s">
        <v>247</v>
      </c>
      <c r="B9" s="13">
        <v>43071.58253472222</v>
      </c>
      <c r="C9" t="s">
        <v>107</v>
      </c>
      <c r="D9">
        <v>371</v>
      </c>
      <c r="E9" t="s">
        <v>248</v>
      </c>
      <c r="F9">
        <v>52.638446249869197</v>
      </c>
      <c r="G9">
        <v>4.7497525662035898</v>
      </c>
      <c r="H9">
        <v>0</v>
      </c>
      <c r="I9">
        <v>1</v>
      </c>
      <c r="J9">
        <v>52.638403334522401</v>
      </c>
      <c r="K9">
        <v>4.7497525662035898</v>
      </c>
      <c r="L9">
        <v>3</v>
      </c>
      <c r="M9">
        <v>1.1000000000000001</v>
      </c>
      <c r="N9">
        <v>0</v>
      </c>
      <c r="O9">
        <v>3.72</v>
      </c>
      <c r="P9">
        <v>-8</v>
      </c>
      <c r="Q9">
        <v>225</v>
      </c>
      <c r="R9">
        <v>0</v>
      </c>
      <c r="S9">
        <v>3</v>
      </c>
      <c r="T9">
        <v>1</v>
      </c>
      <c r="U9">
        <v>0</v>
      </c>
      <c r="V9">
        <v>0</v>
      </c>
      <c r="W9">
        <v>-90</v>
      </c>
      <c r="X9">
        <v>-180</v>
      </c>
      <c r="Y9">
        <v>0</v>
      </c>
      <c r="Z9">
        <v>0</v>
      </c>
      <c r="AA9">
        <v>0</v>
      </c>
      <c r="AB9">
        <v>0</v>
      </c>
    </row>
    <row r="10" spans="1:28" ht="13.95" customHeight="1" x14ac:dyDescent="0.3">
      <c r="A10" t="s">
        <v>249</v>
      </c>
      <c r="B10" s="13">
        <v>43071.583055555559</v>
      </c>
      <c r="C10" t="s">
        <v>233</v>
      </c>
      <c r="D10">
        <v>1</v>
      </c>
      <c r="E10" t="s">
        <v>250</v>
      </c>
      <c r="F10">
        <v>52.638381876849003</v>
      </c>
      <c r="G10">
        <v>4.7498598545706097</v>
      </c>
      <c r="H10">
        <v>11</v>
      </c>
      <c r="I10">
        <v>2.2000000000000002</v>
      </c>
      <c r="J10">
        <v>52.638371148012297</v>
      </c>
      <c r="K10">
        <v>4.7498169392238196</v>
      </c>
      <c r="L10">
        <v>10</v>
      </c>
      <c r="M10">
        <v>2.1</v>
      </c>
      <c r="N10">
        <v>0</v>
      </c>
      <c r="O10">
        <v>4.3</v>
      </c>
      <c r="P10">
        <v>-8</v>
      </c>
      <c r="Q10">
        <v>225</v>
      </c>
      <c r="R10">
        <v>0</v>
      </c>
      <c r="S10">
        <v>8</v>
      </c>
      <c r="T10">
        <v>1</v>
      </c>
      <c r="U10">
        <v>0</v>
      </c>
      <c r="V10">
        <v>0</v>
      </c>
      <c r="W10">
        <v>-90</v>
      </c>
      <c r="X10">
        <v>-180</v>
      </c>
      <c r="Y10">
        <v>0</v>
      </c>
      <c r="Z10">
        <v>0</v>
      </c>
      <c r="AA10">
        <v>0</v>
      </c>
      <c r="AB10">
        <v>0</v>
      </c>
    </row>
    <row r="11" spans="1:28" ht="13.95" customHeight="1" x14ac:dyDescent="0.3">
      <c r="A11" t="s">
        <v>251</v>
      </c>
      <c r="B11" s="13">
        <v>43071.584456018521</v>
      </c>
      <c r="C11" t="s">
        <v>65</v>
      </c>
      <c r="D11">
        <v>334</v>
      </c>
      <c r="E11" t="s">
        <v>252</v>
      </c>
      <c r="F11" s="37">
        <v>-5.36441834242396E-6</v>
      </c>
      <c r="G11" s="37">
        <v>-1.07288366848479E-5</v>
      </c>
      <c r="H11">
        <v>678</v>
      </c>
      <c r="I11">
        <v>20.2</v>
      </c>
      <c r="J11" s="37">
        <v>-5.36441834242396E-6</v>
      </c>
      <c r="K11" s="37">
        <v>-1.07288366848479E-5</v>
      </c>
      <c r="L11">
        <v>678</v>
      </c>
      <c r="M11">
        <v>20.2</v>
      </c>
      <c r="N11">
        <v>0</v>
      </c>
      <c r="O11">
        <v>4.18</v>
      </c>
      <c r="P11">
        <v>-7</v>
      </c>
      <c r="Q11">
        <v>225</v>
      </c>
      <c r="R11">
        <v>0</v>
      </c>
      <c r="S11">
        <v>5</v>
      </c>
      <c r="T11">
        <v>1</v>
      </c>
      <c r="U11">
        <v>0</v>
      </c>
      <c r="V11">
        <v>0</v>
      </c>
      <c r="W11">
        <v>-90</v>
      </c>
      <c r="X11">
        <v>-180</v>
      </c>
      <c r="Y11">
        <v>0</v>
      </c>
      <c r="Z11">
        <v>0</v>
      </c>
      <c r="AA11">
        <v>0</v>
      </c>
      <c r="AB11">
        <v>0</v>
      </c>
    </row>
    <row r="12" spans="1:28" ht="13.95" customHeight="1" x14ac:dyDescent="0.3">
      <c r="A12" t="s">
        <v>253</v>
      </c>
      <c r="B12" s="13">
        <v>43071.585081018522</v>
      </c>
      <c r="C12" t="s">
        <v>233</v>
      </c>
      <c r="D12">
        <v>3</v>
      </c>
      <c r="E12" t="s">
        <v>254</v>
      </c>
      <c r="F12">
        <v>52.638435521032498</v>
      </c>
      <c r="G12">
        <v>4.7499671429375701</v>
      </c>
      <c r="H12">
        <v>0</v>
      </c>
      <c r="I12">
        <v>2.5</v>
      </c>
      <c r="J12">
        <v>52.638381876849003</v>
      </c>
      <c r="K12">
        <v>4.7498383968971796</v>
      </c>
      <c r="L12">
        <v>8</v>
      </c>
      <c r="M12">
        <v>2.2000000000000002</v>
      </c>
      <c r="N12">
        <v>0</v>
      </c>
      <c r="O12">
        <v>4.28</v>
      </c>
      <c r="P12">
        <v>-7</v>
      </c>
      <c r="Q12">
        <v>225</v>
      </c>
      <c r="R12">
        <v>0</v>
      </c>
      <c r="S12">
        <v>8</v>
      </c>
      <c r="T12">
        <v>1</v>
      </c>
      <c r="U12">
        <v>0</v>
      </c>
      <c r="V12">
        <v>0</v>
      </c>
      <c r="W12">
        <v>-90</v>
      </c>
      <c r="X12">
        <v>-180</v>
      </c>
      <c r="Y12">
        <v>0</v>
      </c>
      <c r="Z12">
        <v>0</v>
      </c>
      <c r="AA12">
        <v>0</v>
      </c>
      <c r="AB12">
        <v>0</v>
      </c>
    </row>
    <row r="13" spans="1:28" ht="13.95" customHeight="1" x14ac:dyDescent="0.3">
      <c r="A13" t="s">
        <v>255</v>
      </c>
      <c r="B13" s="13">
        <v>43071.585243055553</v>
      </c>
      <c r="C13" t="s">
        <v>106</v>
      </c>
      <c r="D13">
        <v>7</v>
      </c>
      <c r="E13" t="s">
        <v>256</v>
      </c>
      <c r="F13">
        <v>52.638231673135202</v>
      </c>
      <c r="G13">
        <v>4.7500100582843698</v>
      </c>
      <c r="H13">
        <v>1</v>
      </c>
      <c r="I13">
        <v>1.5</v>
      </c>
      <c r="J13">
        <v>52.638403334522401</v>
      </c>
      <c r="K13">
        <v>4.7497740238770199</v>
      </c>
      <c r="L13">
        <v>0</v>
      </c>
      <c r="M13">
        <v>1</v>
      </c>
      <c r="N13">
        <v>1.1000000000000001</v>
      </c>
      <c r="O13">
        <v>3.94</v>
      </c>
      <c r="P13">
        <v>-9</v>
      </c>
      <c r="Q13">
        <v>225</v>
      </c>
      <c r="R13">
        <v>0</v>
      </c>
      <c r="S13">
        <v>1</v>
      </c>
      <c r="T13">
        <v>1</v>
      </c>
      <c r="U13">
        <v>0</v>
      </c>
      <c r="V13">
        <v>0</v>
      </c>
      <c r="W13">
        <v>-90</v>
      </c>
      <c r="X13">
        <v>-180</v>
      </c>
      <c r="Y13">
        <v>0</v>
      </c>
      <c r="Z13">
        <v>0</v>
      </c>
      <c r="AA13">
        <v>0</v>
      </c>
      <c r="AB13">
        <v>0</v>
      </c>
    </row>
    <row r="14" spans="1:28" ht="13.95" customHeight="1" x14ac:dyDescent="0.3">
      <c r="A14" t="s">
        <v>257</v>
      </c>
      <c r="B14" s="13">
        <v>43071.585324074076</v>
      </c>
      <c r="C14" t="s">
        <v>107</v>
      </c>
      <c r="D14">
        <v>372</v>
      </c>
      <c r="E14" t="s">
        <v>258</v>
      </c>
      <c r="F14">
        <v>52.638489165216001</v>
      </c>
      <c r="G14">
        <v>4.7498813122439802</v>
      </c>
      <c r="H14">
        <v>0</v>
      </c>
      <c r="I14">
        <v>1.4</v>
      </c>
      <c r="J14">
        <v>52.638446249869197</v>
      </c>
      <c r="K14">
        <v>4.7497525662035898</v>
      </c>
      <c r="L14">
        <v>0</v>
      </c>
      <c r="M14">
        <v>1</v>
      </c>
      <c r="N14">
        <v>0</v>
      </c>
      <c r="O14">
        <v>3.78</v>
      </c>
      <c r="P14">
        <v>-7</v>
      </c>
      <c r="Q14">
        <v>225</v>
      </c>
      <c r="R14">
        <v>0</v>
      </c>
      <c r="S14">
        <v>3</v>
      </c>
      <c r="T14">
        <v>1</v>
      </c>
      <c r="U14">
        <v>0</v>
      </c>
      <c r="V14">
        <v>0</v>
      </c>
      <c r="W14">
        <v>-90</v>
      </c>
      <c r="X14">
        <v>-180</v>
      </c>
      <c r="Y14">
        <v>0</v>
      </c>
      <c r="Z14">
        <v>0</v>
      </c>
      <c r="AA14">
        <v>0</v>
      </c>
      <c r="AB14">
        <v>0</v>
      </c>
    </row>
    <row r="15" spans="1:28" ht="13.95" customHeight="1" x14ac:dyDescent="0.3">
      <c r="A15" t="s">
        <v>259</v>
      </c>
      <c r="B15" s="13">
        <v>43071.586099537039</v>
      </c>
      <c r="C15" t="s">
        <v>233</v>
      </c>
      <c r="D15">
        <v>4</v>
      </c>
      <c r="E15" t="s">
        <v>260</v>
      </c>
      <c r="F15">
        <v>52.638220944298503</v>
      </c>
      <c r="G15">
        <v>4.7495809048164102</v>
      </c>
      <c r="H15">
        <v>0</v>
      </c>
      <c r="I15">
        <v>2.2999999999999998</v>
      </c>
      <c r="J15">
        <v>52.638435521032498</v>
      </c>
      <c r="K15">
        <v>4.7499671429375701</v>
      </c>
      <c r="L15">
        <v>0</v>
      </c>
      <c r="M15">
        <v>2.5</v>
      </c>
      <c r="N15">
        <v>0</v>
      </c>
      <c r="O15">
        <v>4.26</v>
      </c>
      <c r="P15">
        <v>-7</v>
      </c>
      <c r="Q15">
        <v>225</v>
      </c>
      <c r="R15">
        <v>0</v>
      </c>
      <c r="S15">
        <v>8</v>
      </c>
      <c r="T15">
        <v>1</v>
      </c>
      <c r="U15">
        <v>0</v>
      </c>
      <c r="V15">
        <v>0</v>
      </c>
      <c r="W15">
        <v>-90</v>
      </c>
      <c r="X15">
        <v>-180</v>
      </c>
      <c r="Y15">
        <v>0</v>
      </c>
      <c r="Z15">
        <v>0</v>
      </c>
      <c r="AA15">
        <v>0</v>
      </c>
      <c r="AB15">
        <v>0</v>
      </c>
    </row>
    <row r="16" spans="1:28" ht="13.95" customHeight="1" x14ac:dyDescent="0.3">
      <c r="A16" t="s">
        <v>261</v>
      </c>
      <c r="B16" s="13">
        <v>43071.587118055555</v>
      </c>
      <c r="C16" t="s">
        <v>233</v>
      </c>
      <c r="D16">
        <v>5</v>
      </c>
      <c r="E16" t="s">
        <v>262</v>
      </c>
      <c r="F16">
        <v>52.638381876849003</v>
      </c>
      <c r="G16">
        <v>4.7497740238770199</v>
      </c>
      <c r="H16">
        <v>0</v>
      </c>
      <c r="I16">
        <v>0</v>
      </c>
      <c r="J16">
        <v>52.638220944298503</v>
      </c>
      <c r="K16">
        <v>4.7495809048164102</v>
      </c>
      <c r="L16">
        <v>0</v>
      </c>
      <c r="M16">
        <v>2.2999999999999998</v>
      </c>
      <c r="N16">
        <v>0</v>
      </c>
      <c r="O16">
        <v>4.2</v>
      </c>
      <c r="P16">
        <v>-7</v>
      </c>
      <c r="Q16">
        <v>225</v>
      </c>
      <c r="R16">
        <v>0</v>
      </c>
      <c r="S16">
        <v>8</v>
      </c>
      <c r="T16">
        <v>1</v>
      </c>
      <c r="U16">
        <v>0</v>
      </c>
      <c r="V16">
        <v>0</v>
      </c>
      <c r="W16">
        <v>-90</v>
      </c>
      <c r="X16">
        <v>-180</v>
      </c>
      <c r="Y16">
        <v>0</v>
      </c>
      <c r="Z16">
        <v>0</v>
      </c>
      <c r="AA16">
        <v>0</v>
      </c>
      <c r="AB16">
        <v>0</v>
      </c>
    </row>
    <row r="17" spans="1:28" ht="13.95" customHeight="1" x14ac:dyDescent="0.3">
      <c r="A17" t="s">
        <v>263</v>
      </c>
      <c r="B17" s="13">
        <v>43071.587326388886</v>
      </c>
      <c r="C17" t="s">
        <v>65</v>
      </c>
      <c r="D17">
        <v>335</v>
      </c>
      <c r="E17" t="s">
        <v>264</v>
      </c>
      <c r="F17" s="37">
        <v>-5.36441834242396E-6</v>
      </c>
      <c r="G17" s="37">
        <v>-1.07288366848479E-5</v>
      </c>
      <c r="H17">
        <v>678</v>
      </c>
      <c r="I17">
        <v>20.2</v>
      </c>
      <c r="J17" s="37">
        <v>-5.36441834242396E-6</v>
      </c>
      <c r="K17" s="37">
        <v>-1.07288366848479E-5</v>
      </c>
      <c r="L17">
        <v>678</v>
      </c>
      <c r="M17">
        <v>20.2</v>
      </c>
      <c r="N17">
        <v>0</v>
      </c>
      <c r="O17">
        <v>4.18</v>
      </c>
      <c r="P17">
        <v>-7</v>
      </c>
      <c r="Q17">
        <v>225</v>
      </c>
      <c r="R17">
        <v>0</v>
      </c>
      <c r="S17">
        <v>5</v>
      </c>
      <c r="T17">
        <v>1</v>
      </c>
      <c r="U17">
        <v>0</v>
      </c>
      <c r="V17">
        <v>0</v>
      </c>
      <c r="W17">
        <v>-90</v>
      </c>
      <c r="X17">
        <v>-180</v>
      </c>
      <c r="Y17">
        <v>0</v>
      </c>
      <c r="Z17">
        <v>0</v>
      </c>
      <c r="AA17">
        <v>0</v>
      </c>
      <c r="AB17">
        <v>0</v>
      </c>
    </row>
    <row r="18" spans="1:28" ht="13.95" customHeight="1" x14ac:dyDescent="0.3">
      <c r="A18" t="s">
        <v>265</v>
      </c>
      <c r="B18" s="13">
        <v>43071.58803240741</v>
      </c>
      <c r="C18" t="s">
        <v>106</v>
      </c>
      <c r="D18">
        <v>8</v>
      </c>
      <c r="E18" t="s">
        <v>266</v>
      </c>
      <c r="F18">
        <v>52.638231673135202</v>
      </c>
      <c r="G18">
        <v>4.7499671429375701</v>
      </c>
      <c r="H18">
        <v>7</v>
      </c>
      <c r="I18">
        <v>0.9</v>
      </c>
      <c r="J18">
        <v>52.638231673135202</v>
      </c>
      <c r="K18">
        <v>4.7500100582843698</v>
      </c>
      <c r="L18">
        <v>1</v>
      </c>
      <c r="M18">
        <v>1.5</v>
      </c>
      <c r="N18">
        <v>1.1000000000000001</v>
      </c>
      <c r="O18">
        <v>3.94</v>
      </c>
      <c r="P18">
        <v>-9</v>
      </c>
      <c r="Q18">
        <v>225</v>
      </c>
      <c r="R18">
        <v>0</v>
      </c>
      <c r="S18">
        <v>1</v>
      </c>
      <c r="T18">
        <v>1</v>
      </c>
      <c r="U18">
        <v>0</v>
      </c>
      <c r="V18">
        <v>0</v>
      </c>
      <c r="W18">
        <v>-90</v>
      </c>
      <c r="X18">
        <v>-180</v>
      </c>
      <c r="Y18">
        <v>0</v>
      </c>
      <c r="Z18">
        <v>0</v>
      </c>
      <c r="AA18">
        <v>0</v>
      </c>
      <c r="AB18">
        <v>0</v>
      </c>
    </row>
    <row r="19" spans="1:28" ht="13.95" customHeight="1" x14ac:dyDescent="0.3">
      <c r="A19" t="s">
        <v>267</v>
      </c>
      <c r="B19" s="13">
        <v>43071.588113425925</v>
      </c>
      <c r="C19" t="s">
        <v>107</v>
      </c>
      <c r="D19">
        <v>373</v>
      </c>
      <c r="E19" t="s">
        <v>268</v>
      </c>
      <c r="F19">
        <v>52.638424792195799</v>
      </c>
      <c r="G19">
        <v>4.7498169392238196</v>
      </c>
      <c r="H19">
        <v>6</v>
      </c>
      <c r="I19">
        <v>1</v>
      </c>
      <c r="J19">
        <v>52.638489165216001</v>
      </c>
      <c r="K19">
        <v>4.7498813122439802</v>
      </c>
      <c r="L19">
        <v>0</v>
      </c>
      <c r="M19">
        <v>1.4</v>
      </c>
      <c r="N19">
        <v>0</v>
      </c>
      <c r="O19">
        <v>3.84</v>
      </c>
      <c r="P19">
        <v>-7</v>
      </c>
      <c r="Q19">
        <v>225</v>
      </c>
      <c r="R19">
        <v>0</v>
      </c>
      <c r="S19">
        <v>3</v>
      </c>
      <c r="T19">
        <v>1</v>
      </c>
      <c r="U19">
        <v>0</v>
      </c>
      <c r="V19">
        <v>0</v>
      </c>
      <c r="W19">
        <v>-90</v>
      </c>
      <c r="X19">
        <v>-180</v>
      </c>
      <c r="Y19">
        <v>0</v>
      </c>
      <c r="Z19">
        <v>0</v>
      </c>
      <c r="AA19">
        <v>0</v>
      </c>
      <c r="AB19">
        <v>0</v>
      </c>
    </row>
    <row r="20" spans="1:28" ht="13.95" customHeight="1" x14ac:dyDescent="0.3">
      <c r="A20" t="s">
        <v>269</v>
      </c>
      <c r="B20" s="13">
        <v>43071.588136574072</v>
      </c>
      <c r="C20" t="s">
        <v>233</v>
      </c>
      <c r="D20">
        <v>6</v>
      </c>
      <c r="E20" t="s">
        <v>270</v>
      </c>
      <c r="F20">
        <v>52.637695231300299</v>
      </c>
      <c r="G20">
        <v>4.7499671429375701</v>
      </c>
      <c r="H20">
        <v>6</v>
      </c>
      <c r="I20">
        <v>0.8</v>
      </c>
      <c r="J20">
        <v>52.638381876849003</v>
      </c>
      <c r="K20">
        <v>4.7497740238770199</v>
      </c>
      <c r="L20">
        <v>0</v>
      </c>
      <c r="M20">
        <v>0</v>
      </c>
      <c r="N20">
        <v>0</v>
      </c>
      <c r="O20">
        <v>4.22</v>
      </c>
      <c r="P20">
        <v>-7</v>
      </c>
      <c r="Q20">
        <v>225</v>
      </c>
      <c r="R20">
        <v>0</v>
      </c>
      <c r="S20">
        <v>8</v>
      </c>
      <c r="T20">
        <v>1</v>
      </c>
      <c r="U20">
        <v>0</v>
      </c>
      <c r="V20">
        <v>0</v>
      </c>
      <c r="W20">
        <v>-90</v>
      </c>
      <c r="X20">
        <v>-180</v>
      </c>
      <c r="Y20">
        <v>0</v>
      </c>
      <c r="Z20">
        <v>0</v>
      </c>
      <c r="AA20">
        <v>0</v>
      </c>
      <c r="AB20">
        <v>0</v>
      </c>
    </row>
    <row r="21" spans="1:28" ht="13.95" customHeight="1" x14ac:dyDescent="0.3">
      <c r="A21" t="s">
        <v>271</v>
      </c>
      <c r="B21" s="13">
        <v>43071.589166666665</v>
      </c>
      <c r="C21" t="s">
        <v>233</v>
      </c>
      <c r="D21">
        <v>7</v>
      </c>
      <c r="E21" t="s">
        <v>272</v>
      </c>
      <c r="F21">
        <v>52.637308993179097</v>
      </c>
      <c r="G21">
        <v>4.7483149020859496</v>
      </c>
      <c r="H21">
        <v>0</v>
      </c>
      <c r="I21">
        <v>0.9</v>
      </c>
      <c r="J21">
        <v>52.637695231300299</v>
      </c>
      <c r="K21">
        <v>4.7499671429375701</v>
      </c>
      <c r="L21">
        <v>6</v>
      </c>
      <c r="M21">
        <v>0.8</v>
      </c>
      <c r="N21">
        <v>0</v>
      </c>
      <c r="O21">
        <v>4.2</v>
      </c>
      <c r="P21">
        <v>-7</v>
      </c>
      <c r="Q21">
        <v>225</v>
      </c>
      <c r="R21">
        <v>0</v>
      </c>
      <c r="S21">
        <v>8</v>
      </c>
      <c r="T21">
        <v>1</v>
      </c>
      <c r="U21">
        <v>0</v>
      </c>
      <c r="V21">
        <v>0</v>
      </c>
      <c r="W21">
        <v>-90</v>
      </c>
      <c r="X21">
        <v>-180</v>
      </c>
      <c r="Y21">
        <v>0</v>
      </c>
      <c r="Z21">
        <v>0</v>
      </c>
      <c r="AA21">
        <v>0</v>
      </c>
      <c r="AB21">
        <v>0</v>
      </c>
    </row>
    <row r="22" spans="1:28" ht="13.95" customHeight="1" x14ac:dyDescent="0.3">
      <c r="A22" t="s">
        <v>273</v>
      </c>
      <c r="B22" s="13">
        <v>43071.590196759258</v>
      </c>
      <c r="C22" t="s">
        <v>233</v>
      </c>
      <c r="D22">
        <v>8</v>
      </c>
      <c r="E22" t="s">
        <v>274</v>
      </c>
      <c r="F22">
        <v>52.636493601589997</v>
      </c>
      <c r="G22">
        <v>4.7477140872307997</v>
      </c>
      <c r="H22">
        <v>0</v>
      </c>
      <c r="I22">
        <v>0.7</v>
      </c>
      <c r="J22">
        <v>52.637308993179097</v>
      </c>
      <c r="K22">
        <v>4.7483149020859496</v>
      </c>
      <c r="L22">
        <v>0</v>
      </c>
      <c r="M22">
        <v>0.9</v>
      </c>
      <c r="N22">
        <v>0</v>
      </c>
      <c r="O22">
        <v>4.24</v>
      </c>
      <c r="P22">
        <v>-7</v>
      </c>
      <c r="Q22">
        <v>225</v>
      </c>
      <c r="R22">
        <v>0</v>
      </c>
      <c r="S22">
        <v>8</v>
      </c>
      <c r="T22">
        <v>1</v>
      </c>
      <c r="U22">
        <v>0</v>
      </c>
      <c r="V22">
        <v>0</v>
      </c>
      <c r="W22">
        <v>-90</v>
      </c>
      <c r="X22">
        <v>-180</v>
      </c>
      <c r="Y22">
        <v>0</v>
      </c>
      <c r="Z22">
        <v>0</v>
      </c>
      <c r="AA22">
        <v>0</v>
      </c>
      <c r="AB22">
        <v>0</v>
      </c>
    </row>
    <row r="23" spans="1:28" ht="13.95" customHeight="1" x14ac:dyDescent="0.3">
      <c r="A23" t="s">
        <v>275</v>
      </c>
      <c r="B23" s="13">
        <v>43071.590208333335</v>
      </c>
      <c r="C23" t="s">
        <v>65</v>
      </c>
      <c r="D23">
        <v>336</v>
      </c>
      <c r="E23" t="s">
        <v>276</v>
      </c>
      <c r="F23" s="37">
        <v>-5.36441834242396E-6</v>
      </c>
      <c r="G23" s="37">
        <v>-1.07288366848479E-5</v>
      </c>
      <c r="H23">
        <v>678</v>
      </c>
      <c r="I23">
        <v>20.2</v>
      </c>
      <c r="J23" s="37">
        <v>-5.36441834242396E-6</v>
      </c>
      <c r="K23" s="37">
        <v>-1.07288366848479E-5</v>
      </c>
      <c r="L23">
        <v>678</v>
      </c>
      <c r="M23">
        <v>20.2</v>
      </c>
      <c r="N23">
        <v>0</v>
      </c>
      <c r="O23">
        <v>4.18</v>
      </c>
      <c r="P23">
        <v>-7</v>
      </c>
      <c r="Q23">
        <v>225</v>
      </c>
      <c r="R23">
        <v>0</v>
      </c>
      <c r="S23">
        <v>5</v>
      </c>
      <c r="T23">
        <v>1</v>
      </c>
      <c r="U23">
        <v>0</v>
      </c>
      <c r="V23">
        <v>0</v>
      </c>
      <c r="W23">
        <v>-90</v>
      </c>
      <c r="X23">
        <v>-180</v>
      </c>
      <c r="Y23">
        <v>0</v>
      </c>
      <c r="Z23">
        <v>0</v>
      </c>
      <c r="AA23">
        <v>0</v>
      </c>
      <c r="AB23">
        <v>0</v>
      </c>
    </row>
    <row r="24" spans="1:28" ht="13.95" customHeight="1" x14ac:dyDescent="0.3">
      <c r="A24" t="s">
        <v>277</v>
      </c>
      <c r="B24" s="13">
        <v>43071.590821759259</v>
      </c>
      <c r="C24" t="s">
        <v>106</v>
      </c>
      <c r="D24">
        <v>9</v>
      </c>
      <c r="E24" t="s">
        <v>278</v>
      </c>
      <c r="F24">
        <v>52.638167300115001</v>
      </c>
      <c r="G24">
        <v>4.7502675503651499</v>
      </c>
      <c r="H24">
        <v>29</v>
      </c>
      <c r="I24">
        <v>0.8</v>
      </c>
      <c r="J24">
        <v>52.638231673135202</v>
      </c>
      <c r="K24">
        <v>4.7499671429375701</v>
      </c>
      <c r="L24">
        <v>7</v>
      </c>
      <c r="M24">
        <v>0.9</v>
      </c>
      <c r="N24">
        <v>1.1000000000000001</v>
      </c>
      <c r="O24">
        <v>3.98</v>
      </c>
      <c r="P24">
        <v>-9</v>
      </c>
      <c r="Q24">
        <v>225</v>
      </c>
      <c r="R24">
        <v>0</v>
      </c>
      <c r="S24">
        <v>1</v>
      </c>
      <c r="T24">
        <v>1</v>
      </c>
      <c r="U24">
        <v>0</v>
      </c>
      <c r="V24">
        <v>0</v>
      </c>
      <c r="W24">
        <v>-90</v>
      </c>
      <c r="X24">
        <v>-180</v>
      </c>
      <c r="Y24">
        <v>0</v>
      </c>
      <c r="Z24">
        <v>0</v>
      </c>
      <c r="AA24">
        <v>0</v>
      </c>
      <c r="AB24">
        <v>0</v>
      </c>
    </row>
    <row r="25" spans="1:28" ht="13.95" customHeight="1" x14ac:dyDescent="0.3">
      <c r="A25" t="s">
        <v>279</v>
      </c>
      <c r="B25" s="13">
        <v>43071.590902777774</v>
      </c>
      <c r="C25" t="s">
        <v>107</v>
      </c>
      <c r="D25">
        <v>374</v>
      </c>
      <c r="E25" t="s">
        <v>280</v>
      </c>
      <c r="F25">
        <v>52.638349690338899</v>
      </c>
      <c r="G25">
        <v>4.7498598545706097</v>
      </c>
      <c r="H25">
        <v>14</v>
      </c>
      <c r="I25">
        <v>1.1000000000000001</v>
      </c>
      <c r="J25">
        <v>52.638424792195799</v>
      </c>
      <c r="K25">
        <v>4.7498169392238196</v>
      </c>
      <c r="L25">
        <v>6</v>
      </c>
      <c r="M25">
        <v>1</v>
      </c>
      <c r="N25">
        <v>0</v>
      </c>
      <c r="O25">
        <v>3.84</v>
      </c>
      <c r="P25">
        <v>-7</v>
      </c>
      <c r="Q25">
        <v>225</v>
      </c>
      <c r="R25">
        <v>0</v>
      </c>
      <c r="S25">
        <v>3</v>
      </c>
      <c r="T25">
        <v>1</v>
      </c>
      <c r="U25">
        <v>0</v>
      </c>
      <c r="V25">
        <v>0</v>
      </c>
      <c r="W25">
        <v>-90</v>
      </c>
      <c r="X25">
        <v>-180</v>
      </c>
      <c r="Y25">
        <v>0</v>
      </c>
      <c r="Z25">
        <v>0</v>
      </c>
      <c r="AA25">
        <v>0</v>
      </c>
      <c r="AB25">
        <v>0</v>
      </c>
    </row>
    <row r="26" spans="1:28" ht="13.95" customHeight="1" x14ac:dyDescent="0.3">
      <c r="A26" t="s">
        <v>281</v>
      </c>
      <c r="B26" s="13">
        <v>43071.591226851851</v>
      </c>
      <c r="C26" t="s">
        <v>233</v>
      </c>
      <c r="D26">
        <v>9</v>
      </c>
      <c r="E26" t="s">
        <v>282</v>
      </c>
      <c r="F26">
        <v>52.635785498367802</v>
      </c>
      <c r="G26">
        <v>4.7469630686618398</v>
      </c>
      <c r="H26">
        <v>0</v>
      </c>
      <c r="I26">
        <v>0.9</v>
      </c>
      <c r="J26">
        <v>52.636493601589997</v>
      </c>
      <c r="K26">
        <v>4.7477140872307997</v>
      </c>
      <c r="L26">
        <v>0</v>
      </c>
      <c r="M26">
        <v>0.7</v>
      </c>
      <c r="N26">
        <v>0</v>
      </c>
      <c r="O26">
        <v>4.28</v>
      </c>
      <c r="P26">
        <v>-8</v>
      </c>
      <c r="Q26">
        <v>225</v>
      </c>
      <c r="R26">
        <v>0</v>
      </c>
      <c r="S26">
        <v>8</v>
      </c>
      <c r="T26">
        <v>1</v>
      </c>
      <c r="U26">
        <v>0</v>
      </c>
      <c r="V26">
        <v>0</v>
      </c>
      <c r="W26">
        <v>-90</v>
      </c>
      <c r="X26">
        <v>-180</v>
      </c>
      <c r="Y26">
        <v>0</v>
      </c>
      <c r="Z26">
        <v>0</v>
      </c>
      <c r="AA26">
        <v>0</v>
      </c>
      <c r="AB26">
        <v>0</v>
      </c>
    </row>
    <row r="27" spans="1:28" ht="13.95" customHeight="1" x14ac:dyDescent="0.3">
      <c r="A27" t="s">
        <v>283</v>
      </c>
      <c r="B27" s="13">
        <v>43071.592256944445</v>
      </c>
      <c r="C27" t="s">
        <v>233</v>
      </c>
      <c r="D27">
        <v>10</v>
      </c>
      <c r="E27" t="s">
        <v>284</v>
      </c>
      <c r="F27">
        <v>52.635774769531103</v>
      </c>
      <c r="G27">
        <v>4.7457614389515399</v>
      </c>
      <c r="H27">
        <v>5</v>
      </c>
      <c r="I27">
        <v>0.9</v>
      </c>
      <c r="J27">
        <v>52.635785498367802</v>
      </c>
      <c r="K27">
        <v>4.7469630686618398</v>
      </c>
      <c r="L27">
        <v>0</v>
      </c>
      <c r="M27">
        <v>0.9</v>
      </c>
      <c r="N27">
        <v>0</v>
      </c>
      <c r="O27">
        <v>4.2</v>
      </c>
      <c r="P27">
        <v>-7</v>
      </c>
      <c r="Q27">
        <v>225</v>
      </c>
      <c r="R27">
        <v>0</v>
      </c>
      <c r="S27">
        <v>8</v>
      </c>
      <c r="T27">
        <v>1</v>
      </c>
      <c r="U27">
        <v>0</v>
      </c>
      <c r="V27">
        <v>0</v>
      </c>
      <c r="W27">
        <v>-90</v>
      </c>
      <c r="X27">
        <v>-180</v>
      </c>
      <c r="Y27">
        <v>0</v>
      </c>
      <c r="Z27">
        <v>0</v>
      </c>
      <c r="AA27">
        <v>0</v>
      </c>
      <c r="AB27">
        <v>0</v>
      </c>
    </row>
    <row r="28" spans="1:28" ht="13.95" customHeight="1" x14ac:dyDescent="0.3">
      <c r="A28" t="s">
        <v>285</v>
      </c>
      <c r="B28" s="13">
        <v>43071.593078703707</v>
      </c>
      <c r="C28" t="s">
        <v>65</v>
      </c>
      <c r="D28">
        <v>337</v>
      </c>
      <c r="E28" t="s">
        <v>286</v>
      </c>
      <c r="F28" s="37">
        <v>-5.36441834242396E-6</v>
      </c>
      <c r="G28" s="37">
        <v>-1.07288366848479E-5</v>
      </c>
      <c r="H28">
        <v>678</v>
      </c>
      <c r="I28">
        <v>20.2</v>
      </c>
      <c r="J28" s="37">
        <v>-5.36441834242396E-6</v>
      </c>
      <c r="K28" s="37">
        <v>-1.07288366848479E-5</v>
      </c>
      <c r="L28">
        <v>678</v>
      </c>
      <c r="M28">
        <v>20.2</v>
      </c>
      <c r="N28">
        <v>0</v>
      </c>
      <c r="O28">
        <v>4.18</v>
      </c>
      <c r="P28">
        <v>-7</v>
      </c>
      <c r="Q28">
        <v>225</v>
      </c>
      <c r="R28">
        <v>0</v>
      </c>
      <c r="S28">
        <v>5</v>
      </c>
      <c r="T28">
        <v>1</v>
      </c>
      <c r="U28">
        <v>0</v>
      </c>
      <c r="V28">
        <v>0</v>
      </c>
      <c r="W28">
        <v>-90</v>
      </c>
      <c r="X28">
        <v>-180</v>
      </c>
      <c r="Y28">
        <v>0</v>
      </c>
      <c r="Z28">
        <v>0</v>
      </c>
      <c r="AA28">
        <v>0</v>
      </c>
      <c r="AB28">
        <v>0</v>
      </c>
    </row>
    <row r="29" spans="1:28" ht="13.95" customHeight="1" x14ac:dyDescent="0.3">
      <c r="A29" t="s">
        <v>287</v>
      </c>
      <c r="B29" s="13">
        <v>43071.593275462961</v>
      </c>
      <c r="C29" t="s">
        <v>233</v>
      </c>
      <c r="D29">
        <v>11</v>
      </c>
      <c r="E29" t="s">
        <v>288</v>
      </c>
      <c r="F29">
        <v>52.635206141186103</v>
      </c>
      <c r="G29">
        <v>4.7455683198909897</v>
      </c>
      <c r="H29">
        <v>0</v>
      </c>
      <c r="I29">
        <v>0.9</v>
      </c>
      <c r="J29">
        <v>52.635774769531103</v>
      </c>
      <c r="K29">
        <v>4.7457614389515399</v>
      </c>
      <c r="L29">
        <v>5</v>
      </c>
      <c r="M29">
        <v>0.9</v>
      </c>
      <c r="N29">
        <v>0</v>
      </c>
      <c r="O29">
        <v>4.18</v>
      </c>
      <c r="P29">
        <v>-7</v>
      </c>
      <c r="Q29">
        <v>225</v>
      </c>
      <c r="R29">
        <v>0</v>
      </c>
      <c r="S29">
        <v>8</v>
      </c>
      <c r="T29">
        <v>1</v>
      </c>
      <c r="U29">
        <v>0</v>
      </c>
      <c r="V29">
        <v>0</v>
      </c>
      <c r="W29">
        <v>-90</v>
      </c>
      <c r="X29">
        <v>-180</v>
      </c>
      <c r="Y29">
        <v>0</v>
      </c>
      <c r="Z29">
        <v>0</v>
      </c>
      <c r="AA29">
        <v>0</v>
      </c>
      <c r="AB29">
        <v>0</v>
      </c>
    </row>
    <row r="30" spans="1:28" ht="13.95" customHeight="1" x14ac:dyDescent="0.3">
      <c r="A30" t="s">
        <v>289</v>
      </c>
      <c r="B30" s="13">
        <v>43071.593611111108</v>
      </c>
      <c r="C30" t="s">
        <v>106</v>
      </c>
      <c r="D30">
        <v>10</v>
      </c>
      <c r="E30" t="s">
        <v>290</v>
      </c>
      <c r="F30">
        <v>52.638231673135202</v>
      </c>
      <c r="G30">
        <v>4.7499671429375701</v>
      </c>
      <c r="H30">
        <v>16</v>
      </c>
      <c r="I30">
        <v>0.8</v>
      </c>
      <c r="J30">
        <v>52.638167300115001</v>
      </c>
      <c r="K30">
        <v>4.7502675503651499</v>
      </c>
      <c r="L30">
        <v>29</v>
      </c>
      <c r="M30">
        <v>0.8</v>
      </c>
      <c r="N30">
        <v>1.1000000000000001</v>
      </c>
      <c r="O30">
        <v>3.94</v>
      </c>
      <c r="P30">
        <v>-9</v>
      </c>
      <c r="Q30">
        <v>225</v>
      </c>
      <c r="R30">
        <v>0</v>
      </c>
      <c r="S30">
        <v>1</v>
      </c>
      <c r="T30">
        <v>1</v>
      </c>
      <c r="U30">
        <v>0</v>
      </c>
      <c r="V30">
        <v>0</v>
      </c>
      <c r="W30">
        <v>-90</v>
      </c>
      <c r="X30">
        <v>-180</v>
      </c>
      <c r="Y30">
        <v>0</v>
      </c>
      <c r="Z30">
        <v>0</v>
      </c>
      <c r="AA30">
        <v>0</v>
      </c>
      <c r="AB30">
        <v>0</v>
      </c>
    </row>
    <row r="31" spans="1:28" ht="13.95" customHeight="1" x14ac:dyDescent="0.3">
      <c r="A31" t="s">
        <v>291</v>
      </c>
      <c r="B31" s="13">
        <v>43071.594305555554</v>
      </c>
      <c r="C31" t="s">
        <v>233</v>
      </c>
      <c r="D31">
        <v>12</v>
      </c>
      <c r="E31" t="s">
        <v>292</v>
      </c>
      <c r="F31">
        <v>52.634079613332702</v>
      </c>
      <c r="G31">
        <v>4.7450318780560101</v>
      </c>
      <c r="H31">
        <v>0</v>
      </c>
      <c r="I31">
        <v>1.3</v>
      </c>
      <c r="J31">
        <v>52.635206141186103</v>
      </c>
      <c r="K31">
        <v>4.7455683198909897</v>
      </c>
      <c r="L31">
        <v>0</v>
      </c>
      <c r="M31">
        <v>0.9</v>
      </c>
      <c r="N31">
        <v>0</v>
      </c>
      <c r="O31">
        <v>4.16</v>
      </c>
      <c r="P31">
        <v>-8</v>
      </c>
      <c r="Q31">
        <v>225</v>
      </c>
      <c r="R31">
        <v>0</v>
      </c>
      <c r="S31">
        <v>8</v>
      </c>
      <c r="T31">
        <v>1</v>
      </c>
      <c r="U31">
        <v>0</v>
      </c>
      <c r="V31">
        <v>0</v>
      </c>
      <c r="W31">
        <v>-90</v>
      </c>
      <c r="X31">
        <v>-180</v>
      </c>
      <c r="Y31">
        <v>0</v>
      </c>
      <c r="Z31">
        <v>0</v>
      </c>
      <c r="AA31">
        <v>0</v>
      </c>
      <c r="AB31">
        <v>0</v>
      </c>
    </row>
    <row r="32" spans="1:28" ht="13.95" customHeight="1" x14ac:dyDescent="0.3">
      <c r="A32" t="s">
        <v>293</v>
      </c>
      <c r="B32" s="13">
        <v>43071.595335648148</v>
      </c>
      <c r="C32" t="s">
        <v>233</v>
      </c>
      <c r="D32">
        <v>13</v>
      </c>
      <c r="E32" t="s">
        <v>294</v>
      </c>
      <c r="F32">
        <v>52.633081831519704</v>
      </c>
      <c r="G32">
        <v>4.7441735711200801</v>
      </c>
      <c r="H32">
        <v>0</v>
      </c>
      <c r="I32">
        <v>0.9</v>
      </c>
      <c r="J32">
        <v>52.634079613332702</v>
      </c>
      <c r="K32">
        <v>4.7450318780560101</v>
      </c>
      <c r="L32">
        <v>0</v>
      </c>
      <c r="M32">
        <v>1.3</v>
      </c>
      <c r="N32">
        <v>0</v>
      </c>
      <c r="O32">
        <v>4.22</v>
      </c>
      <c r="P32">
        <v>-8</v>
      </c>
      <c r="Q32">
        <v>225</v>
      </c>
      <c r="R32">
        <v>0</v>
      </c>
      <c r="S32">
        <v>8</v>
      </c>
      <c r="T32">
        <v>1</v>
      </c>
      <c r="U32">
        <v>0</v>
      </c>
      <c r="V32">
        <v>0</v>
      </c>
      <c r="W32">
        <v>-90</v>
      </c>
      <c r="X32">
        <v>-180</v>
      </c>
      <c r="Y32">
        <v>0</v>
      </c>
      <c r="Z32">
        <v>0</v>
      </c>
      <c r="AA32">
        <v>0</v>
      </c>
      <c r="AB32">
        <v>0</v>
      </c>
    </row>
    <row r="33" spans="1:28" ht="13.95" customHeight="1" x14ac:dyDescent="0.3">
      <c r="A33" t="s">
        <v>295</v>
      </c>
      <c r="B33" s="13">
        <v>43071.595960648148</v>
      </c>
      <c r="C33" t="s">
        <v>65</v>
      </c>
      <c r="D33">
        <v>338</v>
      </c>
      <c r="E33" t="s">
        <v>296</v>
      </c>
      <c r="F33" s="37">
        <v>-5.36441834242396E-6</v>
      </c>
      <c r="G33" s="37">
        <v>-1.07288366848479E-5</v>
      </c>
      <c r="H33">
        <v>678</v>
      </c>
      <c r="I33">
        <v>20.2</v>
      </c>
      <c r="J33" s="37">
        <v>-5.36441834242396E-6</v>
      </c>
      <c r="K33" s="37">
        <v>-1.07288366848479E-5</v>
      </c>
      <c r="L33">
        <v>678</v>
      </c>
      <c r="M33">
        <v>20.2</v>
      </c>
      <c r="N33">
        <v>0</v>
      </c>
      <c r="O33">
        <v>4.16</v>
      </c>
      <c r="P33">
        <v>-7</v>
      </c>
      <c r="Q33">
        <v>225</v>
      </c>
      <c r="R33">
        <v>0</v>
      </c>
      <c r="S33">
        <v>5</v>
      </c>
      <c r="T33">
        <v>1</v>
      </c>
      <c r="U33">
        <v>0</v>
      </c>
      <c r="V33">
        <v>0</v>
      </c>
      <c r="W33">
        <v>-90</v>
      </c>
      <c r="X33">
        <v>-180</v>
      </c>
      <c r="Y33">
        <v>0</v>
      </c>
      <c r="Z33">
        <v>0</v>
      </c>
      <c r="AA33">
        <v>0</v>
      </c>
      <c r="AB33">
        <v>0</v>
      </c>
    </row>
    <row r="34" spans="1:28" ht="13.95" customHeight="1" x14ac:dyDescent="0.3">
      <c r="A34" t="s">
        <v>297</v>
      </c>
      <c r="B34" s="13">
        <v>43071.596354166664</v>
      </c>
      <c r="C34" t="s">
        <v>233</v>
      </c>
      <c r="D34">
        <v>14</v>
      </c>
      <c r="E34" t="s">
        <v>298</v>
      </c>
      <c r="F34">
        <v>52.632330812950698</v>
      </c>
      <c r="G34">
        <v>4.7450962510762302</v>
      </c>
      <c r="H34">
        <v>16</v>
      </c>
      <c r="I34">
        <v>0.7</v>
      </c>
      <c r="J34">
        <v>52.633081831519704</v>
      </c>
      <c r="K34">
        <v>4.7441735711200801</v>
      </c>
      <c r="L34">
        <v>0</v>
      </c>
      <c r="M34">
        <v>0.9</v>
      </c>
      <c r="N34">
        <v>0</v>
      </c>
      <c r="O34">
        <v>4.2</v>
      </c>
      <c r="P34">
        <v>-7</v>
      </c>
      <c r="Q34">
        <v>225</v>
      </c>
      <c r="R34">
        <v>0</v>
      </c>
      <c r="S34">
        <v>8</v>
      </c>
      <c r="T34">
        <v>1</v>
      </c>
      <c r="U34">
        <v>0</v>
      </c>
      <c r="V34">
        <v>0</v>
      </c>
      <c r="W34">
        <v>-90</v>
      </c>
      <c r="X34">
        <v>-180</v>
      </c>
      <c r="Y34">
        <v>0</v>
      </c>
      <c r="Z34">
        <v>0</v>
      </c>
      <c r="AA34">
        <v>0</v>
      </c>
      <c r="AB34">
        <v>0</v>
      </c>
    </row>
    <row r="35" spans="1:28" ht="13.95" customHeight="1" x14ac:dyDescent="0.3">
      <c r="A35" t="s">
        <v>299</v>
      </c>
      <c r="B35" s="13">
        <v>43071.596400462964</v>
      </c>
      <c r="C35" t="s">
        <v>106</v>
      </c>
      <c r="D35">
        <v>11</v>
      </c>
      <c r="E35" t="s">
        <v>300</v>
      </c>
      <c r="F35">
        <v>52.638135113604903</v>
      </c>
      <c r="G35">
        <v>4.7500958889779596</v>
      </c>
      <c r="H35">
        <v>54</v>
      </c>
      <c r="I35">
        <v>0.8</v>
      </c>
      <c r="J35">
        <v>52.638231673135202</v>
      </c>
      <c r="K35">
        <v>4.7499671429375701</v>
      </c>
      <c r="L35">
        <v>16</v>
      </c>
      <c r="M35">
        <v>0.8</v>
      </c>
      <c r="N35">
        <v>1.1000000000000001</v>
      </c>
      <c r="O35">
        <v>3.94</v>
      </c>
      <c r="P35">
        <v>-9</v>
      </c>
      <c r="Q35">
        <v>225</v>
      </c>
      <c r="R35">
        <v>0</v>
      </c>
      <c r="S35">
        <v>1</v>
      </c>
      <c r="T35">
        <v>1</v>
      </c>
      <c r="U35">
        <v>0</v>
      </c>
      <c r="V35">
        <v>0</v>
      </c>
      <c r="W35">
        <v>-90</v>
      </c>
      <c r="X35">
        <v>-180</v>
      </c>
      <c r="Y35">
        <v>0</v>
      </c>
      <c r="Z35">
        <v>0</v>
      </c>
      <c r="AA35">
        <v>0</v>
      </c>
      <c r="AB35">
        <v>0</v>
      </c>
    </row>
    <row r="36" spans="1:28" ht="13.95" customHeight="1" x14ac:dyDescent="0.3">
      <c r="A36" t="s">
        <v>301</v>
      </c>
      <c r="B36" s="13">
        <v>43071.59648148148</v>
      </c>
      <c r="C36" t="s">
        <v>107</v>
      </c>
      <c r="D36">
        <v>376</v>
      </c>
      <c r="E36" t="s">
        <v>302</v>
      </c>
      <c r="F36">
        <v>52.638113655931498</v>
      </c>
      <c r="G36">
        <v>4.7500529736311696</v>
      </c>
      <c r="H36">
        <v>41</v>
      </c>
      <c r="I36">
        <v>0.8</v>
      </c>
      <c r="J36">
        <v>52.638381876849003</v>
      </c>
      <c r="K36">
        <v>4.7498813122439802</v>
      </c>
      <c r="L36">
        <v>0</v>
      </c>
      <c r="M36">
        <v>1.1000000000000001</v>
      </c>
      <c r="N36">
        <v>0</v>
      </c>
      <c r="O36">
        <v>3.76</v>
      </c>
      <c r="P36">
        <v>-7</v>
      </c>
      <c r="Q36">
        <v>225</v>
      </c>
      <c r="R36">
        <v>0</v>
      </c>
      <c r="S36">
        <v>3</v>
      </c>
      <c r="T36">
        <v>1</v>
      </c>
      <c r="U36">
        <v>0</v>
      </c>
      <c r="V36">
        <v>0</v>
      </c>
      <c r="W36">
        <v>-90</v>
      </c>
      <c r="X36">
        <v>-180</v>
      </c>
      <c r="Y36">
        <v>0</v>
      </c>
      <c r="Z36">
        <v>0</v>
      </c>
      <c r="AA36">
        <v>0</v>
      </c>
      <c r="AB36">
        <v>0</v>
      </c>
    </row>
    <row r="37" spans="1:28" ht="13.95" customHeight="1" x14ac:dyDescent="0.3">
      <c r="A37" t="s">
        <v>304</v>
      </c>
      <c r="B37" s="13">
        <v>43071.597372685188</v>
      </c>
      <c r="C37" t="s">
        <v>233</v>
      </c>
      <c r="D37">
        <v>15</v>
      </c>
      <c r="E37" t="s">
        <v>303</v>
      </c>
      <c r="F37">
        <v>52.631794371115802</v>
      </c>
      <c r="G37">
        <v>4.7466197458874699</v>
      </c>
      <c r="H37">
        <v>19</v>
      </c>
      <c r="I37">
        <v>0.7</v>
      </c>
      <c r="J37">
        <v>52.632330812950698</v>
      </c>
      <c r="K37">
        <v>4.7450962510762302</v>
      </c>
      <c r="L37">
        <v>16</v>
      </c>
      <c r="M37">
        <v>0.7</v>
      </c>
      <c r="N37">
        <v>0</v>
      </c>
      <c r="O37">
        <v>4.18</v>
      </c>
      <c r="P37">
        <v>-8</v>
      </c>
      <c r="Q37">
        <v>225</v>
      </c>
      <c r="R37">
        <v>0</v>
      </c>
      <c r="S37">
        <v>8</v>
      </c>
      <c r="T37">
        <v>1</v>
      </c>
      <c r="U37">
        <v>0</v>
      </c>
      <c r="V37">
        <v>0</v>
      </c>
      <c r="W37">
        <v>-90</v>
      </c>
      <c r="X37">
        <v>-180</v>
      </c>
      <c r="Y37">
        <v>0</v>
      </c>
      <c r="Z37">
        <v>0</v>
      </c>
      <c r="AA37">
        <v>0</v>
      </c>
      <c r="AB37">
        <v>0</v>
      </c>
    </row>
    <row r="38" spans="1:28" ht="13.95" customHeight="1" x14ac:dyDescent="0.3">
      <c r="A38" t="s">
        <v>305</v>
      </c>
      <c r="B38" s="13">
        <v>43071.59883101852</v>
      </c>
      <c r="C38" t="s">
        <v>65</v>
      </c>
      <c r="D38">
        <v>339</v>
      </c>
      <c r="E38" t="s">
        <v>306</v>
      </c>
      <c r="F38" s="37">
        <v>-5.36441834242396E-6</v>
      </c>
      <c r="G38" s="37">
        <v>-1.07288366848479E-5</v>
      </c>
      <c r="H38">
        <v>678</v>
      </c>
      <c r="I38">
        <v>20.2</v>
      </c>
      <c r="J38" s="37">
        <v>-5.36441834242396E-6</v>
      </c>
      <c r="K38" s="37">
        <v>-1.07288366848479E-5</v>
      </c>
      <c r="L38">
        <v>678</v>
      </c>
      <c r="M38">
        <v>20.2</v>
      </c>
      <c r="N38">
        <v>0</v>
      </c>
      <c r="O38">
        <v>4.16</v>
      </c>
      <c r="P38">
        <v>-7</v>
      </c>
      <c r="Q38">
        <v>225</v>
      </c>
      <c r="R38">
        <v>0</v>
      </c>
      <c r="S38">
        <v>5</v>
      </c>
      <c r="T38">
        <v>1</v>
      </c>
      <c r="U38">
        <v>0</v>
      </c>
      <c r="V38">
        <v>0</v>
      </c>
      <c r="W38">
        <v>-90</v>
      </c>
      <c r="X38">
        <v>-180</v>
      </c>
      <c r="Y38">
        <v>0</v>
      </c>
      <c r="Z38">
        <v>0</v>
      </c>
      <c r="AA38">
        <v>0</v>
      </c>
      <c r="AB38">
        <v>0</v>
      </c>
    </row>
    <row r="39" spans="1:28" ht="13.95" customHeight="1" x14ac:dyDescent="0.3">
      <c r="A39" t="s">
        <v>307</v>
      </c>
      <c r="B39" s="13">
        <v>43071.599189814813</v>
      </c>
      <c r="C39" t="s">
        <v>106</v>
      </c>
      <c r="D39">
        <v>12</v>
      </c>
      <c r="E39" t="s">
        <v>308</v>
      </c>
      <c r="F39">
        <v>52.638102927094799</v>
      </c>
      <c r="G39">
        <v>4.7500315159577999</v>
      </c>
      <c r="H39">
        <v>32</v>
      </c>
      <c r="I39">
        <v>0.8</v>
      </c>
      <c r="J39">
        <v>52.638135113604903</v>
      </c>
      <c r="K39">
        <v>4.7500958889779596</v>
      </c>
      <c r="L39">
        <v>54</v>
      </c>
      <c r="M39">
        <v>0.8</v>
      </c>
      <c r="N39">
        <v>1.1000000000000001</v>
      </c>
      <c r="O39">
        <v>3.98</v>
      </c>
      <c r="P39">
        <v>-9</v>
      </c>
      <c r="Q39">
        <v>225</v>
      </c>
      <c r="R39">
        <v>0</v>
      </c>
      <c r="S39">
        <v>1</v>
      </c>
      <c r="T39">
        <v>1</v>
      </c>
      <c r="U39">
        <v>0</v>
      </c>
      <c r="V39">
        <v>0</v>
      </c>
      <c r="W39">
        <v>-90</v>
      </c>
      <c r="X39">
        <v>-180</v>
      </c>
      <c r="Y39">
        <v>0</v>
      </c>
      <c r="Z39">
        <v>0</v>
      </c>
      <c r="AA39">
        <v>0</v>
      </c>
      <c r="AB39">
        <v>0</v>
      </c>
    </row>
    <row r="40" spans="1:28" ht="13.95" customHeight="1" x14ac:dyDescent="0.3">
      <c r="A40" t="s">
        <v>309</v>
      </c>
      <c r="B40" s="13">
        <v>43071.599270833336</v>
      </c>
      <c r="C40" t="s">
        <v>107</v>
      </c>
      <c r="D40">
        <v>377</v>
      </c>
      <c r="E40" t="s">
        <v>310</v>
      </c>
      <c r="F40">
        <v>52.6380921982581</v>
      </c>
      <c r="G40">
        <v>4.7499671429375701</v>
      </c>
      <c r="H40">
        <v>25</v>
      </c>
      <c r="I40">
        <v>0.9</v>
      </c>
      <c r="J40">
        <v>52.638113655931498</v>
      </c>
      <c r="K40">
        <v>4.7500529736311696</v>
      </c>
      <c r="L40">
        <v>41</v>
      </c>
      <c r="M40">
        <v>0.8</v>
      </c>
      <c r="N40">
        <v>0</v>
      </c>
      <c r="O40">
        <v>3.84</v>
      </c>
      <c r="P40">
        <v>-7</v>
      </c>
      <c r="Q40">
        <v>225</v>
      </c>
      <c r="R40">
        <v>0</v>
      </c>
      <c r="S40">
        <v>3</v>
      </c>
      <c r="T40">
        <v>1</v>
      </c>
      <c r="U40">
        <v>0</v>
      </c>
      <c r="V40">
        <v>0</v>
      </c>
      <c r="W40">
        <v>-90</v>
      </c>
      <c r="X40">
        <v>-180</v>
      </c>
      <c r="Y40">
        <v>0</v>
      </c>
      <c r="Z40">
        <v>0</v>
      </c>
      <c r="AA40">
        <v>0</v>
      </c>
      <c r="AB40">
        <v>0</v>
      </c>
    </row>
    <row r="41" spans="1:28" ht="13.95" customHeight="1" x14ac:dyDescent="0.3">
      <c r="A41" t="s">
        <v>311</v>
      </c>
      <c r="B41" s="13">
        <v>43071.601712962962</v>
      </c>
      <c r="C41" t="s">
        <v>65</v>
      </c>
      <c r="D41">
        <v>340</v>
      </c>
      <c r="E41" t="s">
        <v>312</v>
      </c>
      <c r="F41" s="37">
        <v>-5.36441834242396E-6</v>
      </c>
      <c r="G41" s="37">
        <v>-1.07288366848479E-5</v>
      </c>
      <c r="H41">
        <v>678</v>
      </c>
      <c r="I41">
        <v>20.2</v>
      </c>
      <c r="J41" s="37">
        <v>-5.36441834242396E-6</v>
      </c>
      <c r="K41" s="37">
        <v>-1.07288366848479E-5</v>
      </c>
      <c r="L41">
        <v>678</v>
      </c>
      <c r="M41">
        <v>20.2</v>
      </c>
      <c r="N41">
        <v>0</v>
      </c>
      <c r="O41">
        <v>4.16</v>
      </c>
      <c r="P41">
        <v>-7</v>
      </c>
      <c r="Q41">
        <v>225</v>
      </c>
      <c r="R41">
        <v>0</v>
      </c>
      <c r="S41">
        <v>5</v>
      </c>
      <c r="T41">
        <v>1</v>
      </c>
      <c r="U41">
        <v>0</v>
      </c>
      <c r="V41">
        <v>0</v>
      </c>
      <c r="W41">
        <v>-90</v>
      </c>
      <c r="X41">
        <v>-180</v>
      </c>
      <c r="Y41">
        <v>0</v>
      </c>
      <c r="Z41">
        <v>0</v>
      </c>
      <c r="AA41">
        <v>0</v>
      </c>
      <c r="AB41">
        <v>0</v>
      </c>
    </row>
    <row r="42" spans="1:28" ht="13.95" customHeight="1" x14ac:dyDescent="0.3">
      <c r="A42" t="s">
        <v>313</v>
      </c>
      <c r="B42" s="13">
        <v>43071.601979166669</v>
      </c>
      <c r="C42" t="s">
        <v>106</v>
      </c>
      <c r="D42">
        <v>13</v>
      </c>
      <c r="E42" t="s">
        <v>314</v>
      </c>
      <c r="F42">
        <v>52.638306774992103</v>
      </c>
      <c r="G42">
        <v>4.7499456852642004</v>
      </c>
      <c r="H42">
        <v>15</v>
      </c>
      <c r="I42">
        <v>0.8</v>
      </c>
      <c r="J42">
        <v>52.638102927094799</v>
      </c>
      <c r="K42">
        <v>4.7500315159577999</v>
      </c>
      <c r="L42">
        <v>32</v>
      </c>
      <c r="M42">
        <v>0.8</v>
      </c>
      <c r="N42">
        <v>1.1000000000000001</v>
      </c>
      <c r="O42">
        <v>4</v>
      </c>
      <c r="P42">
        <v>-9</v>
      </c>
      <c r="Q42">
        <v>225</v>
      </c>
      <c r="R42">
        <v>0</v>
      </c>
      <c r="S42">
        <v>1</v>
      </c>
      <c r="T42">
        <v>1</v>
      </c>
      <c r="U42">
        <v>0</v>
      </c>
      <c r="V42">
        <v>0</v>
      </c>
      <c r="W42">
        <v>-90</v>
      </c>
      <c r="X42">
        <v>-180</v>
      </c>
      <c r="Y42">
        <v>0</v>
      </c>
      <c r="Z42">
        <v>0</v>
      </c>
      <c r="AA42">
        <v>0</v>
      </c>
      <c r="AB42">
        <v>0</v>
      </c>
    </row>
    <row r="43" spans="1:28" ht="13.95" customHeight="1" x14ac:dyDescent="0.3">
      <c r="A43" t="s">
        <v>315</v>
      </c>
      <c r="B43" s="13">
        <v>43071.602060185185</v>
      </c>
      <c r="C43" t="s">
        <v>107</v>
      </c>
      <c r="D43">
        <v>378</v>
      </c>
      <c r="E43" t="s">
        <v>316</v>
      </c>
      <c r="F43">
        <v>52.638306774992103</v>
      </c>
      <c r="G43">
        <v>4.7498813122439802</v>
      </c>
      <c r="H43">
        <v>25</v>
      </c>
      <c r="I43">
        <v>0.9</v>
      </c>
      <c r="J43">
        <v>52.6380921982581</v>
      </c>
      <c r="K43">
        <v>4.7499671429375701</v>
      </c>
      <c r="L43">
        <v>25</v>
      </c>
      <c r="M43">
        <v>0.9</v>
      </c>
      <c r="N43">
        <v>0</v>
      </c>
      <c r="O43">
        <v>3.78</v>
      </c>
      <c r="P43">
        <v>-7</v>
      </c>
      <c r="Q43">
        <v>225</v>
      </c>
      <c r="R43">
        <v>0</v>
      </c>
      <c r="S43">
        <v>3</v>
      </c>
      <c r="T43">
        <v>1</v>
      </c>
      <c r="U43">
        <v>0</v>
      </c>
      <c r="V43">
        <v>0</v>
      </c>
      <c r="W43">
        <v>-90</v>
      </c>
      <c r="X43">
        <v>-180</v>
      </c>
      <c r="Y43">
        <v>0</v>
      </c>
      <c r="Z43">
        <v>0</v>
      </c>
      <c r="AA43">
        <v>0</v>
      </c>
      <c r="AB43">
        <v>0</v>
      </c>
    </row>
    <row r="44" spans="1:28" ht="13.95" customHeight="1" x14ac:dyDescent="0.3">
      <c r="A44" t="s">
        <v>319</v>
      </c>
      <c r="B44" s="13">
        <v>43071.602442129632</v>
      </c>
      <c r="C44" t="s">
        <v>233</v>
      </c>
      <c r="D44">
        <v>20</v>
      </c>
      <c r="E44" t="s">
        <v>317</v>
      </c>
      <c r="F44">
        <v>52.630260147467801</v>
      </c>
      <c r="G44">
        <v>4.7499456852642004</v>
      </c>
      <c r="H44">
        <v>0</v>
      </c>
      <c r="I44">
        <v>0.8</v>
      </c>
      <c r="J44">
        <v>52.629487671225498</v>
      </c>
      <c r="K44">
        <v>4.7497525662035898</v>
      </c>
      <c r="L44">
        <v>8</v>
      </c>
      <c r="M44">
        <v>0.7</v>
      </c>
      <c r="N44">
        <v>0</v>
      </c>
      <c r="O44">
        <v>4.1399999999999997</v>
      </c>
      <c r="P44">
        <v>-7</v>
      </c>
      <c r="Q44">
        <v>225</v>
      </c>
      <c r="R44">
        <v>0</v>
      </c>
      <c r="S44">
        <v>8</v>
      </c>
      <c r="T44">
        <v>1</v>
      </c>
      <c r="U44">
        <v>0</v>
      </c>
      <c r="V44">
        <v>0</v>
      </c>
      <c r="W44">
        <v>-90</v>
      </c>
      <c r="X44">
        <v>-180</v>
      </c>
      <c r="Y44">
        <v>0</v>
      </c>
      <c r="Z44">
        <v>0</v>
      </c>
      <c r="AA44">
        <v>0</v>
      </c>
      <c r="AB44">
        <v>0</v>
      </c>
    </row>
    <row r="45" spans="1:28" ht="13.95" customHeight="1" x14ac:dyDescent="0.3">
      <c r="A45" t="s">
        <v>321</v>
      </c>
      <c r="B45" s="13">
        <v>43071.603460648148</v>
      </c>
      <c r="C45" t="s">
        <v>233</v>
      </c>
      <c r="D45">
        <v>21</v>
      </c>
      <c r="E45" t="s">
        <v>320</v>
      </c>
      <c r="F45">
        <v>52.631150640913802</v>
      </c>
      <c r="G45">
        <v>4.7504606694257596</v>
      </c>
      <c r="H45">
        <v>0</v>
      </c>
      <c r="I45">
        <v>1</v>
      </c>
      <c r="J45">
        <v>52.630260147467801</v>
      </c>
      <c r="K45">
        <v>4.7499456852642004</v>
      </c>
      <c r="L45">
        <v>0</v>
      </c>
      <c r="M45">
        <v>0.8</v>
      </c>
      <c r="N45">
        <v>0</v>
      </c>
      <c r="O45">
        <v>4.12</v>
      </c>
      <c r="P45">
        <v>-7</v>
      </c>
      <c r="Q45">
        <v>225</v>
      </c>
      <c r="R45">
        <v>0</v>
      </c>
      <c r="S45">
        <v>8</v>
      </c>
      <c r="T45">
        <v>1</v>
      </c>
      <c r="U45">
        <v>0</v>
      </c>
      <c r="V45">
        <v>0</v>
      </c>
      <c r="W45">
        <v>-90</v>
      </c>
      <c r="X45">
        <v>-180</v>
      </c>
      <c r="Y45">
        <v>0</v>
      </c>
      <c r="Z45">
        <v>0</v>
      </c>
      <c r="AA45">
        <v>0</v>
      </c>
      <c r="AB45">
        <v>0</v>
      </c>
    </row>
    <row r="46" spans="1:28" ht="13.95" customHeight="1" x14ac:dyDescent="0.3">
      <c r="A46" t="s">
        <v>322</v>
      </c>
      <c r="B46" s="13">
        <v>43071.604490740741</v>
      </c>
      <c r="C46" t="s">
        <v>233</v>
      </c>
      <c r="D46">
        <v>22</v>
      </c>
      <c r="E46" t="s">
        <v>323</v>
      </c>
      <c r="F46">
        <v>52.632030405523203</v>
      </c>
      <c r="G46">
        <v>4.7509971112606797</v>
      </c>
      <c r="H46">
        <v>0</v>
      </c>
      <c r="I46">
        <v>0.7</v>
      </c>
      <c r="J46">
        <v>52.631150640913802</v>
      </c>
      <c r="K46">
        <v>4.7504606694257596</v>
      </c>
      <c r="L46">
        <v>0</v>
      </c>
      <c r="M46">
        <v>1</v>
      </c>
      <c r="N46">
        <v>0</v>
      </c>
      <c r="O46">
        <v>4.12</v>
      </c>
      <c r="P46">
        <v>-7</v>
      </c>
      <c r="Q46">
        <v>225</v>
      </c>
      <c r="R46">
        <v>0</v>
      </c>
      <c r="S46">
        <v>8</v>
      </c>
      <c r="T46">
        <v>1</v>
      </c>
      <c r="U46">
        <v>0</v>
      </c>
      <c r="V46">
        <v>0</v>
      </c>
      <c r="W46">
        <v>-90</v>
      </c>
      <c r="X46">
        <v>-180</v>
      </c>
      <c r="Y46">
        <v>0</v>
      </c>
      <c r="Z46">
        <v>0</v>
      </c>
      <c r="AA46">
        <v>0</v>
      </c>
      <c r="AB46">
        <v>0</v>
      </c>
    </row>
    <row r="47" spans="1:28" ht="13.95" customHeight="1" x14ac:dyDescent="0.3">
      <c r="A47" t="s">
        <v>324</v>
      </c>
      <c r="B47" s="13">
        <v>43071.604583333334</v>
      </c>
      <c r="C47" t="s">
        <v>65</v>
      </c>
      <c r="D47">
        <v>341</v>
      </c>
      <c r="E47" t="s">
        <v>325</v>
      </c>
      <c r="F47" s="37">
        <v>-5.36441834242396E-6</v>
      </c>
      <c r="G47" s="37">
        <v>-1.07288366848479E-5</v>
      </c>
      <c r="H47">
        <v>678</v>
      </c>
      <c r="I47">
        <v>20.2</v>
      </c>
      <c r="J47" s="37">
        <v>-5.36441834242396E-6</v>
      </c>
      <c r="K47" s="37">
        <v>-1.07288366848479E-5</v>
      </c>
      <c r="L47">
        <v>678</v>
      </c>
      <c r="M47">
        <v>20.2</v>
      </c>
      <c r="N47">
        <v>0</v>
      </c>
      <c r="O47">
        <v>4.16</v>
      </c>
      <c r="P47">
        <v>-7</v>
      </c>
      <c r="Q47">
        <v>225</v>
      </c>
      <c r="R47">
        <v>0</v>
      </c>
      <c r="S47">
        <v>5</v>
      </c>
      <c r="T47">
        <v>1</v>
      </c>
      <c r="U47">
        <v>0</v>
      </c>
      <c r="V47">
        <v>0</v>
      </c>
      <c r="W47">
        <v>-90</v>
      </c>
      <c r="X47">
        <v>-180</v>
      </c>
      <c r="Y47">
        <v>0</v>
      </c>
      <c r="Z47">
        <v>0</v>
      </c>
      <c r="AA47">
        <v>0</v>
      </c>
      <c r="AB47">
        <v>0</v>
      </c>
    </row>
    <row r="48" spans="1:28" ht="13.95" customHeight="1" x14ac:dyDescent="0.3">
      <c r="A48" t="s">
        <v>326</v>
      </c>
      <c r="B48" s="13">
        <v>43071.604768518519</v>
      </c>
      <c r="C48" t="s">
        <v>106</v>
      </c>
      <c r="D48">
        <v>14</v>
      </c>
      <c r="E48" t="s">
        <v>327</v>
      </c>
      <c r="F48">
        <v>52.638102927094799</v>
      </c>
      <c r="G48">
        <v>4.7502031773449804</v>
      </c>
      <c r="H48">
        <v>24</v>
      </c>
      <c r="I48">
        <v>0.8</v>
      </c>
      <c r="J48">
        <v>52.638306774992103</v>
      </c>
      <c r="K48">
        <v>4.7499456852642004</v>
      </c>
      <c r="L48">
        <v>15</v>
      </c>
      <c r="M48">
        <v>0.8</v>
      </c>
      <c r="N48">
        <v>1.1000000000000001</v>
      </c>
      <c r="O48">
        <v>3.96</v>
      </c>
      <c r="P48">
        <v>-9</v>
      </c>
      <c r="Q48">
        <v>225</v>
      </c>
      <c r="R48">
        <v>0</v>
      </c>
      <c r="S48">
        <v>1</v>
      </c>
      <c r="T48">
        <v>1</v>
      </c>
      <c r="U48">
        <v>0</v>
      </c>
      <c r="V48">
        <v>0</v>
      </c>
      <c r="W48">
        <v>-90</v>
      </c>
      <c r="X48">
        <v>-180</v>
      </c>
      <c r="Y48">
        <v>0</v>
      </c>
      <c r="Z48">
        <v>0</v>
      </c>
      <c r="AA48">
        <v>0</v>
      </c>
      <c r="AB48">
        <v>0</v>
      </c>
    </row>
    <row r="49" spans="1:28" ht="13.95" customHeight="1" x14ac:dyDescent="0.3">
      <c r="A49" t="s">
        <v>328</v>
      </c>
      <c r="B49" s="13">
        <v>43071.604849537034</v>
      </c>
      <c r="C49" t="s">
        <v>107</v>
      </c>
      <c r="D49">
        <v>379</v>
      </c>
      <c r="E49" t="s">
        <v>329</v>
      </c>
      <c r="F49">
        <v>52.638349690338899</v>
      </c>
      <c r="G49">
        <v>4.7497740238770199</v>
      </c>
      <c r="H49">
        <v>23</v>
      </c>
      <c r="I49">
        <v>0.9</v>
      </c>
      <c r="J49">
        <v>52.638306774992103</v>
      </c>
      <c r="K49">
        <v>4.7498813122439802</v>
      </c>
      <c r="L49">
        <v>25</v>
      </c>
      <c r="M49">
        <v>0.9</v>
      </c>
      <c r="N49">
        <v>0</v>
      </c>
      <c r="O49">
        <v>3.72</v>
      </c>
      <c r="P49">
        <v>-8</v>
      </c>
      <c r="Q49">
        <v>225</v>
      </c>
      <c r="R49">
        <v>0</v>
      </c>
      <c r="S49">
        <v>3</v>
      </c>
      <c r="T49">
        <v>1</v>
      </c>
      <c r="U49">
        <v>0</v>
      </c>
      <c r="V49">
        <v>0</v>
      </c>
      <c r="W49">
        <v>-90</v>
      </c>
      <c r="X49">
        <v>-180</v>
      </c>
      <c r="Y49">
        <v>0</v>
      </c>
      <c r="Z49">
        <v>0</v>
      </c>
      <c r="AA49">
        <v>0</v>
      </c>
      <c r="AB49">
        <v>0</v>
      </c>
    </row>
    <row r="50" spans="1:28" ht="13.95" customHeight="1" x14ac:dyDescent="0.3">
      <c r="A50" t="s">
        <v>330</v>
      </c>
      <c r="B50" s="13">
        <v>43071.605509259258</v>
      </c>
      <c r="C50" t="s">
        <v>233</v>
      </c>
      <c r="D50">
        <v>23</v>
      </c>
      <c r="E50" t="s">
        <v>331</v>
      </c>
      <c r="F50">
        <v>52.6328779836224</v>
      </c>
      <c r="G50">
        <v>4.7514048070552803</v>
      </c>
      <c r="H50">
        <v>0</v>
      </c>
      <c r="I50">
        <v>0.6</v>
      </c>
      <c r="J50">
        <v>52.632030405523203</v>
      </c>
      <c r="K50">
        <v>4.7509971112606797</v>
      </c>
      <c r="L50">
        <v>0</v>
      </c>
      <c r="M50">
        <v>0.7</v>
      </c>
      <c r="N50">
        <v>0</v>
      </c>
      <c r="O50">
        <v>4.2</v>
      </c>
      <c r="P50">
        <v>-7</v>
      </c>
      <c r="Q50">
        <v>225</v>
      </c>
      <c r="R50">
        <v>0</v>
      </c>
      <c r="S50">
        <v>8</v>
      </c>
      <c r="T50">
        <v>1</v>
      </c>
      <c r="U50">
        <v>0</v>
      </c>
      <c r="V50">
        <v>0</v>
      </c>
      <c r="W50">
        <v>-90</v>
      </c>
      <c r="X50">
        <v>-180</v>
      </c>
      <c r="Y50">
        <v>0</v>
      </c>
      <c r="Z50">
        <v>0</v>
      </c>
      <c r="AA50">
        <v>0</v>
      </c>
      <c r="AB50">
        <v>0</v>
      </c>
    </row>
    <row r="51" spans="1:28" ht="13.95" customHeight="1" x14ac:dyDescent="0.3">
      <c r="A51" t="s">
        <v>332</v>
      </c>
      <c r="B51" s="13">
        <v>43071.606527777774</v>
      </c>
      <c r="C51" t="s">
        <v>233</v>
      </c>
      <c r="D51">
        <v>24</v>
      </c>
      <c r="E51" t="s">
        <v>333</v>
      </c>
      <c r="F51">
        <v>52.633339323600403</v>
      </c>
      <c r="G51">
        <v>4.7502246350183501</v>
      </c>
      <c r="H51">
        <v>0</v>
      </c>
      <c r="I51">
        <v>0.7</v>
      </c>
      <c r="J51">
        <v>52.6328779836224</v>
      </c>
      <c r="K51">
        <v>4.7514048070552803</v>
      </c>
      <c r="L51">
        <v>0</v>
      </c>
      <c r="M51">
        <v>0.6</v>
      </c>
      <c r="N51">
        <v>0</v>
      </c>
      <c r="O51">
        <v>4.1399999999999997</v>
      </c>
      <c r="P51">
        <v>-7</v>
      </c>
      <c r="Q51">
        <v>225</v>
      </c>
      <c r="R51">
        <v>0</v>
      </c>
      <c r="S51">
        <v>8</v>
      </c>
      <c r="T51">
        <v>1</v>
      </c>
      <c r="U51">
        <v>0</v>
      </c>
      <c r="V51">
        <v>0</v>
      </c>
      <c r="W51">
        <v>-90</v>
      </c>
      <c r="X51">
        <v>-180</v>
      </c>
      <c r="Y51">
        <v>0</v>
      </c>
      <c r="Z51">
        <v>0</v>
      </c>
      <c r="AA51">
        <v>0</v>
      </c>
      <c r="AB51">
        <v>0</v>
      </c>
    </row>
    <row r="52" spans="1:28" ht="13.95" customHeight="1" x14ac:dyDescent="0.3">
      <c r="A52" t="s">
        <v>334</v>
      </c>
      <c r="B52" s="13">
        <v>43071.607465277775</v>
      </c>
      <c r="C52" t="s">
        <v>65</v>
      </c>
      <c r="D52">
        <v>342</v>
      </c>
      <c r="E52" t="s">
        <v>335</v>
      </c>
      <c r="F52" s="37">
        <v>-5.36441834242396E-6</v>
      </c>
      <c r="G52" s="37">
        <v>-1.07288366848479E-5</v>
      </c>
      <c r="H52">
        <v>678</v>
      </c>
      <c r="I52">
        <v>20.2</v>
      </c>
      <c r="J52" s="37">
        <v>-5.36441834242396E-6</v>
      </c>
      <c r="K52" s="37">
        <v>-1.07288366848479E-5</v>
      </c>
      <c r="L52">
        <v>678</v>
      </c>
      <c r="M52">
        <v>20.2</v>
      </c>
      <c r="N52">
        <v>0</v>
      </c>
      <c r="O52">
        <v>4.16</v>
      </c>
      <c r="P52">
        <v>-7</v>
      </c>
      <c r="Q52">
        <v>225</v>
      </c>
      <c r="R52">
        <v>0</v>
      </c>
      <c r="S52">
        <v>5</v>
      </c>
      <c r="T52">
        <v>1</v>
      </c>
      <c r="U52">
        <v>0</v>
      </c>
      <c r="V52">
        <v>0</v>
      </c>
      <c r="W52">
        <v>-90</v>
      </c>
      <c r="X52">
        <v>-180</v>
      </c>
      <c r="Y52">
        <v>0</v>
      </c>
      <c r="Z52">
        <v>0</v>
      </c>
      <c r="AA52">
        <v>0</v>
      </c>
      <c r="AB52">
        <v>0</v>
      </c>
    </row>
    <row r="53" spans="1:28" ht="13.95" customHeight="1" x14ac:dyDescent="0.3">
      <c r="A53" t="s">
        <v>336</v>
      </c>
      <c r="B53" s="13">
        <v>43071.607557870368</v>
      </c>
      <c r="C53" t="s">
        <v>233</v>
      </c>
      <c r="D53">
        <v>25</v>
      </c>
      <c r="E53" t="s">
        <v>337</v>
      </c>
      <c r="F53">
        <v>52.634186901699699</v>
      </c>
      <c r="G53">
        <v>4.7497525662035898</v>
      </c>
      <c r="H53">
        <v>0</v>
      </c>
      <c r="I53">
        <v>0.6</v>
      </c>
      <c r="J53">
        <v>52.633339323600403</v>
      </c>
      <c r="K53">
        <v>4.7502246350183501</v>
      </c>
      <c r="L53">
        <v>0</v>
      </c>
      <c r="M53">
        <v>0.7</v>
      </c>
      <c r="N53">
        <v>0</v>
      </c>
      <c r="O53">
        <v>4.12</v>
      </c>
      <c r="P53">
        <v>-7</v>
      </c>
      <c r="Q53">
        <v>225</v>
      </c>
      <c r="R53">
        <v>0</v>
      </c>
      <c r="S53">
        <v>8</v>
      </c>
      <c r="T53">
        <v>1</v>
      </c>
      <c r="U53">
        <v>0</v>
      </c>
      <c r="V53">
        <v>0</v>
      </c>
      <c r="W53">
        <v>-90</v>
      </c>
      <c r="X53">
        <v>-180</v>
      </c>
      <c r="Y53">
        <v>0</v>
      </c>
      <c r="Z53">
        <v>0</v>
      </c>
      <c r="AA53">
        <v>0</v>
      </c>
      <c r="AB53">
        <v>0</v>
      </c>
    </row>
    <row r="54" spans="1:28" ht="13.95" customHeight="1" x14ac:dyDescent="0.3">
      <c r="A54" t="s">
        <v>338</v>
      </c>
      <c r="B54" s="13">
        <v>43071.607557870368</v>
      </c>
      <c r="C54" t="s">
        <v>106</v>
      </c>
      <c r="D54">
        <v>15</v>
      </c>
      <c r="E54" t="s">
        <v>339</v>
      </c>
      <c r="F54">
        <v>52.638038554074598</v>
      </c>
      <c r="G54">
        <v>4.7500958889779596</v>
      </c>
      <c r="H54">
        <v>18</v>
      </c>
      <c r="I54">
        <v>0.8</v>
      </c>
      <c r="J54">
        <v>52.638102927094799</v>
      </c>
      <c r="K54">
        <v>4.7502031773449804</v>
      </c>
      <c r="L54">
        <v>24</v>
      </c>
      <c r="M54">
        <v>0.8</v>
      </c>
      <c r="N54">
        <v>1.1000000000000001</v>
      </c>
      <c r="O54">
        <v>4</v>
      </c>
      <c r="P54">
        <v>-9</v>
      </c>
      <c r="Q54">
        <v>225</v>
      </c>
      <c r="R54">
        <v>0</v>
      </c>
      <c r="S54">
        <v>1</v>
      </c>
      <c r="T54">
        <v>1</v>
      </c>
      <c r="U54">
        <v>0</v>
      </c>
      <c r="V54">
        <v>0</v>
      </c>
      <c r="W54">
        <v>-90</v>
      </c>
      <c r="X54">
        <v>-180</v>
      </c>
      <c r="Y54">
        <v>0</v>
      </c>
      <c r="Z54">
        <v>0</v>
      </c>
      <c r="AA54">
        <v>0</v>
      </c>
      <c r="AB54">
        <v>0</v>
      </c>
    </row>
    <row r="55" spans="1:28" ht="13.95" customHeight="1" x14ac:dyDescent="0.3">
      <c r="A55" t="s">
        <v>340</v>
      </c>
      <c r="B55" s="13">
        <v>43071.607638888891</v>
      </c>
      <c r="C55" t="s">
        <v>107</v>
      </c>
      <c r="D55">
        <v>380</v>
      </c>
      <c r="E55" t="s">
        <v>341</v>
      </c>
      <c r="F55">
        <v>52.6381780289517</v>
      </c>
      <c r="G55">
        <v>4.7499671429375701</v>
      </c>
      <c r="H55">
        <v>46</v>
      </c>
      <c r="I55">
        <v>0.9</v>
      </c>
      <c r="J55">
        <v>52.638349690338899</v>
      </c>
      <c r="K55">
        <v>4.7497740238770199</v>
      </c>
      <c r="L55">
        <v>23</v>
      </c>
      <c r="M55">
        <v>0.9</v>
      </c>
      <c r="N55">
        <v>0</v>
      </c>
      <c r="O55">
        <v>3.84</v>
      </c>
      <c r="P55">
        <v>-7</v>
      </c>
      <c r="Q55">
        <v>225</v>
      </c>
      <c r="R55">
        <v>0</v>
      </c>
      <c r="S55">
        <v>3</v>
      </c>
      <c r="T55">
        <v>1</v>
      </c>
      <c r="U55">
        <v>0</v>
      </c>
      <c r="V55">
        <v>0</v>
      </c>
      <c r="W55">
        <v>-90</v>
      </c>
      <c r="X55">
        <v>-180</v>
      </c>
      <c r="Y55">
        <v>0</v>
      </c>
      <c r="Z55">
        <v>0</v>
      </c>
      <c r="AA55">
        <v>0</v>
      </c>
      <c r="AB55">
        <v>0</v>
      </c>
    </row>
    <row r="56" spans="1:28" ht="13.95" customHeight="1" x14ac:dyDescent="0.3">
      <c r="A56" t="s">
        <v>342</v>
      </c>
      <c r="B56" s="13">
        <v>43071.608564814815</v>
      </c>
      <c r="C56" t="s">
        <v>233</v>
      </c>
      <c r="D56">
        <v>26</v>
      </c>
      <c r="E56" t="s">
        <v>343</v>
      </c>
      <c r="F56">
        <v>52.635088123982399</v>
      </c>
      <c r="G56">
        <v>4.7485080211464998</v>
      </c>
      <c r="H56">
        <v>0</v>
      </c>
      <c r="I56">
        <v>0.7</v>
      </c>
      <c r="J56">
        <v>52.634186901699699</v>
      </c>
      <c r="K56">
        <v>4.7497525662035898</v>
      </c>
      <c r="L56">
        <v>0</v>
      </c>
      <c r="M56">
        <v>0.6</v>
      </c>
      <c r="N56">
        <v>0</v>
      </c>
      <c r="O56">
        <v>4.22</v>
      </c>
      <c r="P56">
        <v>-7</v>
      </c>
      <c r="Q56">
        <v>225</v>
      </c>
      <c r="R56">
        <v>0</v>
      </c>
      <c r="S56">
        <v>8</v>
      </c>
      <c r="T56">
        <v>1</v>
      </c>
      <c r="U56">
        <v>0</v>
      </c>
      <c r="V56">
        <v>0</v>
      </c>
      <c r="W56">
        <v>-90</v>
      </c>
      <c r="X56">
        <v>-180</v>
      </c>
      <c r="Y56">
        <v>0</v>
      </c>
      <c r="Z56">
        <v>0</v>
      </c>
      <c r="AA56">
        <v>0</v>
      </c>
      <c r="AB56">
        <v>0</v>
      </c>
    </row>
    <row r="57" spans="1:28" ht="13.95" customHeight="1" x14ac:dyDescent="0.3">
      <c r="A57" t="s">
        <v>344</v>
      </c>
      <c r="B57" s="13">
        <v>43071.609583333331</v>
      </c>
      <c r="C57" t="s">
        <v>233</v>
      </c>
      <c r="D57">
        <v>27</v>
      </c>
      <c r="E57" t="s">
        <v>345</v>
      </c>
      <c r="F57">
        <v>52.636193194162402</v>
      </c>
      <c r="G57">
        <v>4.7478642909445599</v>
      </c>
      <c r="H57">
        <v>0</v>
      </c>
      <c r="I57">
        <v>0.7</v>
      </c>
      <c r="J57">
        <v>52.635088123982399</v>
      </c>
      <c r="K57">
        <v>4.7485080211464998</v>
      </c>
      <c r="L57">
        <v>0</v>
      </c>
      <c r="M57">
        <v>0.7</v>
      </c>
      <c r="N57">
        <v>0</v>
      </c>
      <c r="O57">
        <v>4.18</v>
      </c>
      <c r="P57">
        <v>-7</v>
      </c>
      <c r="Q57">
        <v>225</v>
      </c>
      <c r="R57">
        <v>0</v>
      </c>
      <c r="S57">
        <v>8</v>
      </c>
      <c r="T57">
        <v>1</v>
      </c>
      <c r="U57">
        <v>0</v>
      </c>
      <c r="V57">
        <v>0</v>
      </c>
      <c r="W57">
        <v>-90</v>
      </c>
      <c r="X57">
        <v>-180</v>
      </c>
      <c r="Y57">
        <v>0</v>
      </c>
      <c r="Z57">
        <v>0</v>
      </c>
      <c r="AA57">
        <v>0</v>
      </c>
      <c r="AB57">
        <v>0</v>
      </c>
    </row>
    <row r="58" spans="1:28" ht="13.95" customHeight="1" x14ac:dyDescent="0.3">
      <c r="A58" t="s">
        <v>346</v>
      </c>
      <c r="B58" s="13">
        <v>43071.610335648147</v>
      </c>
      <c r="C58" t="s">
        <v>65</v>
      </c>
      <c r="D58">
        <v>343</v>
      </c>
      <c r="E58" t="s">
        <v>347</v>
      </c>
      <c r="F58" s="37">
        <v>-5.36441834242396E-6</v>
      </c>
      <c r="G58" s="37">
        <v>-1.07288366848479E-5</v>
      </c>
      <c r="H58">
        <v>678</v>
      </c>
      <c r="I58">
        <v>20.2</v>
      </c>
      <c r="J58" s="37">
        <v>-5.36441834242396E-6</v>
      </c>
      <c r="K58" s="37">
        <v>-1.07288366848479E-5</v>
      </c>
      <c r="L58">
        <v>678</v>
      </c>
      <c r="M58">
        <v>20.2</v>
      </c>
      <c r="N58">
        <v>0</v>
      </c>
      <c r="O58">
        <v>4.16</v>
      </c>
      <c r="P58">
        <v>-7</v>
      </c>
      <c r="Q58">
        <v>225</v>
      </c>
      <c r="R58">
        <v>0</v>
      </c>
      <c r="S58">
        <v>5</v>
      </c>
      <c r="T58">
        <v>1</v>
      </c>
      <c r="U58">
        <v>0</v>
      </c>
      <c r="V58">
        <v>0</v>
      </c>
      <c r="W58">
        <v>-90</v>
      </c>
      <c r="X58">
        <v>-180</v>
      </c>
      <c r="Y58">
        <v>0</v>
      </c>
      <c r="Z58">
        <v>0</v>
      </c>
      <c r="AA58">
        <v>0</v>
      </c>
      <c r="AB58">
        <v>0</v>
      </c>
    </row>
    <row r="59" spans="1:28" ht="13.95" customHeight="1" x14ac:dyDescent="0.3">
      <c r="A59" t="s">
        <v>348</v>
      </c>
      <c r="B59" s="13">
        <v>43071.610347222224</v>
      </c>
      <c r="C59" t="s">
        <v>106</v>
      </c>
      <c r="D59">
        <v>16</v>
      </c>
      <c r="E59" t="s">
        <v>349</v>
      </c>
      <c r="F59">
        <v>52.638242401971901</v>
      </c>
      <c r="G59">
        <v>4.7499027699174103</v>
      </c>
      <c r="H59">
        <v>18</v>
      </c>
      <c r="I59">
        <v>1.6</v>
      </c>
      <c r="J59">
        <v>52.638038554074598</v>
      </c>
      <c r="K59">
        <v>4.7500958889779596</v>
      </c>
      <c r="L59">
        <v>18</v>
      </c>
      <c r="M59">
        <v>0.8</v>
      </c>
      <c r="N59">
        <v>1.1000000000000001</v>
      </c>
      <c r="O59">
        <v>4.0199999999999996</v>
      </c>
      <c r="P59">
        <v>-9</v>
      </c>
      <c r="Q59">
        <v>225</v>
      </c>
      <c r="R59">
        <v>0</v>
      </c>
      <c r="S59">
        <v>1</v>
      </c>
      <c r="T59">
        <v>1</v>
      </c>
      <c r="U59">
        <v>0</v>
      </c>
      <c r="V59">
        <v>0</v>
      </c>
      <c r="W59">
        <v>-90</v>
      </c>
      <c r="X59">
        <v>-180</v>
      </c>
      <c r="Y59">
        <v>0</v>
      </c>
      <c r="Z59">
        <v>0</v>
      </c>
      <c r="AA59">
        <v>0</v>
      </c>
      <c r="AB59">
        <v>0</v>
      </c>
    </row>
    <row r="60" spans="1:28" ht="13.95" customHeight="1" x14ac:dyDescent="0.3">
      <c r="A60" t="s">
        <v>350</v>
      </c>
      <c r="B60" s="13">
        <v>43071.61042824074</v>
      </c>
      <c r="C60" t="s">
        <v>107</v>
      </c>
      <c r="D60">
        <v>381</v>
      </c>
      <c r="E60" t="s">
        <v>351</v>
      </c>
      <c r="F60">
        <v>52.638639368929802</v>
      </c>
      <c r="G60">
        <v>4.7498383968971796</v>
      </c>
      <c r="H60">
        <v>0</v>
      </c>
      <c r="I60">
        <v>0.9</v>
      </c>
      <c r="J60">
        <v>52.6381780289517</v>
      </c>
      <c r="K60">
        <v>4.7499671429375701</v>
      </c>
      <c r="L60">
        <v>46</v>
      </c>
      <c r="M60">
        <v>0.9</v>
      </c>
      <c r="N60">
        <v>0</v>
      </c>
      <c r="O60">
        <v>3.76</v>
      </c>
      <c r="P60">
        <v>-7</v>
      </c>
      <c r="Q60">
        <v>225</v>
      </c>
      <c r="R60">
        <v>0</v>
      </c>
      <c r="S60">
        <v>3</v>
      </c>
      <c r="T60">
        <v>1</v>
      </c>
      <c r="U60">
        <v>0</v>
      </c>
      <c r="V60">
        <v>0</v>
      </c>
      <c r="W60">
        <v>-90</v>
      </c>
      <c r="X60">
        <v>-180</v>
      </c>
      <c r="Y60">
        <v>0</v>
      </c>
      <c r="Z60">
        <v>0</v>
      </c>
      <c r="AA60">
        <v>0</v>
      </c>
      <c r="AB60">
        <v>0</v>
      </c>
    </row>
    <row r="61" spans="1:28" ht="13.95" customHeight="1" x14ac:dyDescent="0.3">
      <c r="A61" t="s">
        <v>352</v>
      </c>
      <c r="B61" s="13">
        <v>43071.610601851855</v>
      </c>
      <c r="C61" t="s">
        <v>233</v>
      </c>
      <c r="D61">
        <v>28</v>
      </c>
      <c r="E61" t="s">
        <v>353</v>
      </c>
      <c r="F61">
        <v>52.637180247138701</v>
      </c>
      <c r="G61">
        <v>4.7483578174327397</v>
      </c>
      <c r="H61">
        <v>0</v>
      </c>
      <c r="I61">
        <v>1</v>
      </c>
      <c r="J61">
        <v>52.636193194162402</v>
      </c>
      <c r="K61">
        <v>4.7478642909445599</v>
      </c>
      <c r="L61">
        <v>0</v>
      </c>
      <c r="M61">
        <v>0.7</v>
      </c>
      <c r="N61">
        <v>0</v>
      </c>
      <c r="O61">
        <v>4.0999999999999996</v>
      </c>
      <c r="P61">
        <v>-7</v>
      </c>
      <c r="Q61">
        <v>225</v>
      </c>
      <c r="R61">
        <v>0</v>
      </c>
      <c r="S61">
        <v>8</v>
      </c>
      <c r="T61">
        <v>1</v>
      </c>
      <c r="U61">
        <v>0</v>
      </c>
      <c r="V61">
        <v>0</v>
      </c>
      <c r="W61">
        <v>-90</v>
      </c>
      <c r="X61">
        <v>-180</v>
      </c>
      <c r="Y61">
        <v>0</v>
      </c>
      <c r="Z61">
        <v>0</v>
      </c>
      <c r="AA61">
        <v>0</v>
      </c>
      <c r="AB61">
        <v>0</v>
      </c>
    </row>
    <row r="62" spans="1:28" ht="13.95" customHeight="1" x14ac:dyDescent="0.3">
      <c r="A62" t="s">
        <v>354</v>
      </c>
      <c r="B62" s="13">
        <v>43071.611620370371</v>
      </c>
      <c r="C62" t="s">
        <v>233</v>
      </c>
      <c r="D62">
        <v>29</v>
      </c>
      <c r="E62" t="s">
        <v>355</v>
      </c>
      <c r="F62">
        <v>52.637738146647102</v>
      </c>
      <c r="G62">
        <v>4.7500315159577999</v>
      </c>
      <c r="H62">
        <v>1</v>
      </c>
      <c r="I62">
        <v>0.8</v>
      </c>
      <c r="J62">
        <v>52.637180247138701</v>
      </c>
      <c r="K62">
        <v>4.7483578174327397</v>
      </c>
      <c r="L62">
        <v>0</v>
      </c>
      <c r="M62">
        <v>1</v>
      </c>
      <c r="N62">
        <v>0</v>
      </c>
      <c r="O62">
        <v>4.12</v>
      </c>
      <c r="P62">
        <v>-7</v>
      </c>
      <c r="Q62">
        <v>225</v>
      </c>
      <c r="R62">
        <v>0</v>
      </c>
      <c r="S62">
        <v>8</v>
      </c>
      <c r="T62">
        <v>1</v>
      </c>
      <c r="U62">
        <v>0</v>
      </c>
      <c r="V62">
        <v>0</v>
      </c>
      <c r="W62">
        <v>-90</v>
      </c>
      <c r="X62">
        <v>-180</v>
      </c>
      <c r="Y62">
        <v>0</v>
      </c>
      <c r="Z62">
        <v>0</v>
      </c>
      <c r="AA62">
        <v>0</v>
      </c>
      <c r="AB62">
        <v>0</v>
      </c>
    </row>
    <row r="63" spans="1:28" ht="13.95" customHeight="1" x14ac:dyDescent="0.3">
      <c r="A63" t="s">
        <v>356</v>
      </c>
      <c r="B63" s="13">
        <v>43071.612650462965</v>
      </c>
      <c r="C63" t="s">
        <v>233</v>
      </c>
      <c r="D63">
        <v>30</v>
      </c>
      <c r="E63" t="s">
        <v>357</v>
      </c>
      <c r="F63">
        <v>52.638424792195799</v>
      </c>
      <c r="G63">
        <v>4.7497740238770199</v>
      </c>
      <c r="H63">
        <v>0</v>
      </c>
      <c r="I63">
        <v>0.6</v>
      </c>
      <c r="J63">
        <v>52.637738146647102</v>
      </c>
      <c r="K63">
        <v>4.7500315159577999</v>
      </c>
      <c r="L63">
        <v>1</v>
      </c>
      <c r="M63">
        <v>0.8</v>
      </c>
      <c r="N63">
        <v>0</v>
      </c>
      <c r="O63">
        <v>4.12</v>
      </c>
      <c r="P63">
        <v>-7</v>
      </c>
      <c r="Q63">
        <v>225</v>
      </c>
      <c r="R63">
        <v>0</v>
      </c>
      <c r="S63">
        <v>8</v>
      </c>
      <c r="T63">
        <v>1</v>
      </c>
      <c r="U63">
        <v>0</v>
      </c>
      <c r="V63">
        <v>0</v>
      </c>
      <c r="W63">
        <v>-90</v>
      </c>
      <c r="X63">
        <v>-180</v>
      </c>
      <c r="Y63">
        <v>0</v>
      </c>
      <c r="Z63">
        <v>0</v>
      </c>
      <c r="AA63">
        <v>0</v>
      </c>
      <c r="AB63">
        <v>0</v>
      </c>
    </row>
    <row r="64" spans="1:28" ht="13.95" customHeight="1" x14ac:dyDescent="0.3">
      <c r="A64" t="s">
        <v>358</v>
      </c>
      <c r="B64" s="13">
        <v>43071.613136574073</v>
      </c>
      <c r="C64" t="s">
        <v>106</v>
      </c>
      <c r="D64">
        <v>17</v>
      </c>
      <c r="E64" t="s">
        <v>359</v>
      </c>
      <c r="F64">
        <v>52.638263859645299</v>
      </c>
      <c r="G64">
        <v>4.7498598545706097</v>
      </c>
      <c r="H64">
        <v>6</v>
      </c>
      <c r="I64">
        <v>1.1000000000000001</v>
      </c>
      <c r="J64">
        <v>52.638242401971901</v>
      </c>
      <c r="K64">
        <v>4.7499027699174103</v>
      </c>
      <c r="L64">
        <v>18</v>
      </c>
      <c r="M64">
        <v>1.6</v>
      </c>
      <c r="N64">
        <v>1.1000000000000001</v>
      </c>
      <c r="O64">
        <v>4.0199999999999996</v>
      </c>
      <c r="P64">
        <v>-9</v>
      </c>
      <c r="Q64">
        <v>225</v>
      </c>
      <c r="R64">
        <v>0</v>
      </c>
      <c r="S64">
        <v>1</v>
      </c>
      <c r="T64">
        <v>1</v>
      </c>
      <c r="U64">
        <v>0</v>
      </c>
      <c r="V64">
        <v>0</v>
      </c>
      <c r="W64">
        <v>-90</v>
      </c>
      <c r="X64">
        <v>-180</v>
      </c>
      <c r="Y64">
        <v>0</v>
      </c>
      <c r="Z64">
        <v>0</v>
      </c>
      <c r="AA64">
        <v>0</v>
      </c>
      <c r="AB64">
        <v>0</v>
      </c>
    </row>
    <row r="65" spans="1:28" ht="13.95" customHeight="1" x14ac:dyDescent="0.3">
      <c r="A65" t="s">
        <v>360</v>
      </c>
      <c r="B65" s="13">
        <v>43071.613217592596</v>
      </c>
      <c r="C65" t="s">
        <v>65</v>
      </c>
      <c r="D65">
        <v>344</v>
      </c>
      <c r="E65" t="s">
        <v>361</v>
      </c>
      <c r="F65" s="37">
        <v>-5.36441834242396E-6</v>
      </c>
      <c r="G65" s="37">
        <v>-1.07288366848479E-5</v>
      </c>
      <c r="H65">
        <v>678</v>
      </c>
      <c r="I65">
        <v>20.2</v>
      </c>
      <c r="J65" s="37">
        <v>-5.36441834242396E-6</v>
      </c>
      <c r="K65" s="37">
        <v>-1.07288366848479E-5</v>
      </c>
      <c r="L65">
        <v>678</v>
      </c>
      <c r="M65">
        <v>20.2</v>
      </c>
      <c r="N65">
        <v>0</v>
      </c>
      <c r="O65">
        <v>4.1399999999999997</v>
      </c>
      <c r="P65">
        <v>-7</v>
      </c>
      <c r="Q65">
        <v>225</v>
      </c>
      <c r="R65">
        <v>0</v>
      </c>
      <c r="S65">
        <v>5</v>
      </c>
      <c r="T65">
        <v>1</v>
      </c>
      <c r="U65">
        <v>0</v>
      </c>
      <c r="V65">
        <v>0</v>
      </c>
      <c r="W65">
        <v>-90</v>
      </c>
      <c r="X65">
        <v>-180</v>
      </c>
      <c r="Y65">
        <v>0</v>
      </c>
      <c r="Z65">
        <v>0</v>
      </c>
      <c r="AA65">
        <v>0</v>
      </c>
      <c r="AB65">
        <v>0</v>
      </c>
    </row>
    <row r="66" spans="1:28" ht="13.95" customHeight="1" x14ac:dyDescent="0.3">
      <c r="A66" t="s">
        <v>362</v>
      </c>
      <c r="B66" s="13">
        <v>43071.613217592596</v>
      </c>
      <c r="C66" t="s">
        <v>107</v>
      </c>
      <c r="D66">
        <v>382</v>
      </c>
      <c r="E66" t="s">
        <v>363</v>
      </c>
      <c r="F66">
        <v>52.6382531308086</v>
      </c>
      <c r="G66">
        <v>4.7498383968971796</v>
      </c>
      <c r="H66">
        <v>0</v>
      </c>
      <c r="I66">
        <v>1.1000000000000001</v>
      </c>
      <c r="J66">
        <v>52.638639368929802</v>
      </c>
      <c r="K66">
        <v>4.7498383968971796</v>
      </c>
      <c r="L66">
        <v>0</v>
      </c>
      <c r="M66">
        <v>0.9</v>
      </c>
      <c r="N66">
        <v>0</v>
      </c>
      <c r="O66">
        <v>3.76</v>
      </c>
      <c r="P66">
        <v>-6</v>
      </c>
      <c r="Q66">
        <v>225</v>
      </c>
      <c r="R66">
        <v>0</v>
      </c>
      <c r="S66">
        <v>3</v>
      </c>
      <c r="T66">
        <v>1</v>
      </c>
      <c r="U66">
        <v>0</v>
      </c>
      <c r="V66">
        <v>0</v>
      </c>
      <c r="W66">
        <v>-90</v>
      </c>
      <c r="X66">
        <v>-180</v>
      </c>
      <c r="Y66">
        <v>0</v>
      </c>
      <c r="Z66">
        <v>0</v>
      </c>
      <c r="AA66">
        <v>0</v>
      </c>
      <c r="AB66">
        <v>0</v>
      </c>
    </row>
    <row r="67" spans="1:28" ht="13.95" customHeight="1" x14ac:dyDescent="0.3">
      <c r="A67" t="s">
        <v>364</v>
      </c>
      <c r="B67" s="13">
        <v>43071.614675925928</v>
      </c>
      <c r="C67" t="s">
        <v>233</v>
      </c>
      <c r="D67">
        <v>32</v>
      </c>
      <c r="E67" t="s">
        <v>365</v>
      </c>
      <c r="F67">
        <v>52.638446249869197</v>
      </c>
      <c r="G67">
        <v>4.7496881931834301</v>
      </c>
      <c r="H67">
        <v>0</v>
      </c>
      <c r="I67">
        <v>0.8</v>
      </c>
      <c r="J67">
        <v>52.6384998940527</v>
      </c>
      <c r="K67">
        <v>4.7496452778366303</v>
      </c>
      <c r="L67">
        <v>0</v>
      </c>
      <c r="M67">
        <v>1.1000000000000001</v>
      </c>
      <c r="N67">
        <v>0</v>
      </c>
      <c r="O67">
        <v>4.1399999999999997</v>
      </c>
      <c r="P67">
        <v>-5</v>
      </c>
      <c r="Q67">
        <v>225</v>
      </c>
      <c r="R67">
        <v>0</v>
      </c>
      <c r="S67">
        <v>8</v>
      </c>
      <c r="T67">
        <v>1</v>
      </c>
      <c r="U67">
        <v>0</v>
      </c>
      <c r="V67">
        <v>0</v>
      </c>
      <c r="W67">
        <v>-90</v>
      </c>
      <c r="X67">
        <v>-180</v>
      </c>
      <c r="Y67">
        <v>0</v>
      </c>
      <c r="Z67">
        <v>0</v>
      </c>
      <c r="AA67">
        <v>0</v>
      </c>
      <c r="AB67">
        <v>0</v>
      </c>
    </row>
    <row r="68" spans="1:28" ht="13.95" customHeight="1" x14ac:dyDescent="0.3">
      <c r="A68" t="s">
        <v>366</v>
      </c>
      <c r="B68" s="13">
        <v>43071.615127314813</v>
      </c>
      <c r="C68" t="s">
        <v>233</v>
      </c>
      <c r="D68">
        <v>33</v>
      </c>
      <c r="E68" t="s">
        <v>367</v>
      </c>
      <c r="F68">
        <v>52.638446249869197</v>
      </c>
      <c r="G68">
        <v>4.7497096508567997</v>
      </c>
      <c r="H68">
        <v>0</v>
      </c>
      <c r="I68">
        <v>0.9</v>
      </c>
      <c r="J68">
        <v>52.638446249869197</v>
      </c>
      <c r="K68">
        <v>4.7496881931834301</v>
      </c>
      <c r="L68">
        <v>0</v>
      </c>
      <c r="M68">
        <v>0.8</v>
      </c>
      <c r="N68">
        <v>1.7</v>
      </c>
      <c r="O68">
        <v>4.0999999999999996</v>
      </c>
      <c r="P68">
        <v>-7</v>
      </c>
      <c r="Q68">
        <v>225</v>
      </c>
      <c r="R68">
        <v>0</v>
      </c>
      <c r="S68">
        <v>8</v>
      </c>
      <c r="T68">
        <v>1</v>
      </c>
      <c r="U68">
        <v>0</v>
      </c>
      <c r="V68">
        <v>0</v>
      </c>
      <c r="W68">
        <v>-90</v>
      </c>
      <c r="X68">
        <v>-180</v>
      </c>
      <c r="Y68">
        <v>0</v>
      </c>
      <c r="Z68">
        <v>0</v>
      </c>
      <c r="AA68">
        <v>0</v>
      </c>
      <c r="AB68">
        <v>0</v>
      </c>
    </row>
    <row r="69" spans="1:28" ht="13.95" customHeight="1" x14ac:dyDescent="0.3">
      <c r="A69" t="s">
        <v>369</v>
      </c>
      <c r="B69" s="13">
        <v>43071.615613425929</v>
      </c>
      <c r="C69" t="s">
        <v>233</v>
      </c>
      <c r="D69">
        <v>0</v>
      </c>
      <c r="E69" t="s">
        <v>368</v>
      </c>
      <c r="F69">
        <v>52.638220944298503</v>
      </c>
      <c r="G69">
        <v>4.7500100582843698</v>
      </c>
      <c r="H69">
        <v>5</v>
      </c>
      <c r="I69">
        <v>0.8</v>
      </c>
      <c r="J69">
        <v>-90</v>
      </c>
      <c r="K69">
        <v>-180</v>
      </c>
      <c r="L69">
        <v>0</v>
      </c>
      <c r="M69">
        <v>0</v>
      </c>
      <c r="N69">
        <v>0</v>
      </c>
      <c r="O69">
        <v>4.24</v>
      </c>
      <c r="P69">
        <v>-9</v>
      </c>
      <c r="Q69">
        <v>225</v>
      </c>
      <c r="R69">
        <v>0</v>
      </c>
      <c r="S69">
        <v>8</v>
      </c>
      <c r="T69">
        <v>1</v>
      </c>
      <c r="U69">
        <v>0</v>
      </c>
      <c r="V69">
        <v>0</v>
      </c>
      <c r="W69">
        <v>-90</v>
      </c>
      <c r="X69">
        <v>-180</v>
      </c>
      <c r="Y69">
        <v>0</v>
      </c>
      <c r="Z69">
        <v>0</v>
      </c>
      <c r="AA69">
        <v>0</v>
      </c>
      <c r="AB69">
        <v>0</v>
      </c>
    </row>
    <row r="70" spans="1:28" ht="13.95" customHeight="1" x14ac:dyDescent="0.3">
      <c r="A70" t="s">
        <v>370</v>
      </c>
      <c r="B70" s="13">
        <v>43071.615925925929</v>
      </c>
      <c r="C70" t="s">
        <v>106</v>
      </c>
      <c r="D70">
        <v>18</v>
      </c>
      <c r="E70" t="s">
        <v>371</v>
      </c>
      <c r="F70">
        <v>52.638392605685702</v>
      </c>
      <c r="G70">
        <v>4.7498169392238196</v>
      </c>
      <c r="H70">
        <v>0</v>
      </c>
      <c r="I70">
        <v>1</v>
      </c>
      <c r="J70">
        <v>52.638263859645299</v>
      </c>
      <c r="K70">
        <v>4.7498598545706097</v>
      </c>
      <c r="L70">
        <v>6</v>
      </c>
      <c r="M70">
        <v>1.1000000000000001</v>
      </c>
      <c r="N70">
        <v>1.1000000000000001</v>
      </c>
      <c r="O70">
        <v>3.92</v>
      </c>
      <c r="P70">
        <v>-9</v>
      </c>
      <c r="Q70">
        <v>225</v>
      </c>
      <c r="R70">
        <v>0</v>
      </c>
      <c r="S70">
        <v>1</v>
      </c>
      <c r="T70">
        <v>1</v>
      </c>
      <c r="U70">
        <v>0</v>
      </c>
      <c r="V70">
        <v>0</v>
      </c>
      <c r="W70">
        <v>-90</v>
      </c>
      <c r="X70">
        <v>-180</v>
      </c>
      <c r="Y70">
        <v>0</v>
      </c>
      <c r="Z70">
        <v>0</v>
      </c>
      <c r="AA70">
        <v>0</v>
      </c>
      <c r="AB70">
        <v>0</v>
      </c>
    </row>
    <row r="71" spans="1:28" ht="13.95" customHeight="1" x14ac:dyDescent="0.3">
      <c r="A71" t="s">
        <v>372</v>
      </c>
      <c r="B71" s="13">
        <v>43071.616006944445</v>
      </c>
      <c r="C71" t="s">
        <v>107</v>
      </c>
      <c r="D71">
        <v>383</v>
      </c>
      <c r="E71" t="s">
        <v>373</v>
      </c>
      <c r="F71">
        <v>52.638360419175598</v>
      </c>
      <c r="G71">
        <v>4.7497525662035898</v>
      </c>
      <c r="H71">
        <v>11</v>
      </c>
      <c r="I71">
        <v>1.1000000000000001</v>
      </c>
      <c r="J71">
        <v>52.6382531308086</v>
      </c>
      <c r="K71">
        <v>4.7498383968971796</v>
      </c>
      <c r="L71">
        <v>0</v>
      </c>
      <c r="M71">
        <v>1.1000000000000001</v>
      </c>
      <c r="N71">
        <v>0</v>
      </c>
      <c r="O71">
        <v>3.78</v>
      </c>
      <c r="P71">
        <v>-7</v>
      </c>
      <c r="Q71">
        <v>225</v>
      </c>
      <c r="R71">
        <v>0</v>
      </c>
      <c r="S71">
        <v>3</v>
      </c>
      <c r="T71">
        <v>1</v>
      </c>
      <c r="U71">
        <v>0</v>
      </c>
      <c r="V71">
        <v>0</v>
      </c>
      <c r="W71">
        <v>-90</v>
      </c>
      <c r="X71">
        <v>-180</v>
      </c>
      <c r="Y71">
        <v>0</v>
      </c>
      <c r="Z71">
        <v>0</v>
      </c>
      <c r="AA71">
        <v>0</v>
      </c>
      <c r="AB71">
        <v>0</v>
      </c>
    </row>
    <row r="72" spans="1:28" ht="13.95" customHeight="1" x14ac:dyDescent="0.3">
      <c r="A72" t="s">
        <v>374</v>
      </c>
      <c r="B72" s="13">
        <v>43071.616087962961</v>
      </c>
      <c r="C72" t="s">
        <v>65</v>
      </c>
      <c r="D72">
        <v>345</v>
      </c>
      <c r="E72" t="s">
        <v>375</v>
      </c>
      <c r="F72" s="37">
        <v>-5.36441834242396E-6</v>
      </c>
      <c r="G72" s="37">
        <v>-1.07288366848479E-5</v>
      </c>
      <c r="H72">
        <v>678</v>
      </c>
      <c r="I72">
        <v>20.2</v>
      </c>
      <c r="J72" s="37">
        <v>-5.36441834242396E-6</v>
      </c>
      <c r="K72" s="37">
        <v>-1.07288366848479E-5</v>
      </c>
      <c r="L72">
        <v>678</v>
      </c>
      <c r="M72">
        <v>20.2</v>
      </c>
      <c r="N72">
        <v>0</v>
      </c>
      <c r="O72">
        <v>4.1399999999999997</v>
      </c>
      <c r="P72">
        <v>-7</v>
      </c>
      <c r="Q72">
        <v>225</v>
      </c>
      <c r="R72">
        <v>0</v>
      </c>
      <c r="S72">
        <v>5</v>
      </c>
      <c r="T72">
        <v>1</v>
      </c>
      <c r="U72">
        <v>0</v>
      </c>
      <c r="V72">
        <v>0</v>
      </c>
      <c r="W72">
        <v>-90</v>
      </c>
      <c r="X72">
        <v>-180</v>
      </c>
      <c r="Y72">
        <v>0</v>
      </c>
      <c r="Z72">
        <v>0</v>
      </c>
      <c r="AA72">
        <v>0</v>
      </c>
      <c r="AB72">
        <v>0</v>
      </c>
    </row>
    <row r="73" spans="1:28" ht="13.95" customHeight="1" x14ac:dyDescent="0.3">
      <c r="A73" t="s">
        <v>376</v>
      </c>
      <c r="B73" s="13">
        <v>43071.618402777778</v>
      </c>
      <c r="C73" t="s">
        <v>233</v>
      </c>
      <c r="D73">
        <v>1</v>
      </c>
      <c r="E73" t="s">
        <v>377</v>
      </c>
      <c r="F73">
        <v>52.638435521032498</v>
      </c>
      <c r="G73">
        <v>4.7497096508567997</v>
      </c>
      <c r="H73">
        <v>0</v>
      </c>
      <c r="I73">
        <v>1.1000000000000001</v>
      </c>
      <c r="J73">
        <v>52.638220944298503</v>
      </c>
      <c r="K73">
        <v>4.7500100582843698</v>
      </c>
      <c r="L73">
        <v>5</v>
      </c>
      <c r="M73">
        <v>0.8</v>
      </c>
      <c r="N73">
        <v>0</v>
      </c>
      <c r="O73">
        <v>4.22</v>
      </c>
      <c r="P73">
        <v>-8</v>
      </c>
      <c r="Q73">
        <v>225</v>
      </c>
      <c r="R73">
        <v>0</v>
      </c>
      <c r="S73">
        <v>8</v>
      </c>
      <c r="T73">
        <v>1</v>
      </c>
      <c r="U73">
        <v>0</v>
      </c>
      <c r="V73">
        <v>0</v>
      </c>
      <c r="W73">
        <v>-90</v>
      </c>
      <c r="X73">
        <v>-180</v>
      </c>
      <c r="Y73">
        <v>0</v>
      </c>
      <c r="Z73">
        <v>0</v>
      </c>
      <c r="AA73">
        <v>0</v>
      </c>
      <c r="AB73">
        <v>0</v>
      </c>
    </row>
    <row r="74" spans="1:28" ht="13.95" customHeight="1" x14ac:dyDescent="0.3">
      <c r="A74" t="s">
        <v>378</v>
      </c>
      <c r="B74" s="13">
        <v>43071.618715277778</v>
      </c>
      <c r="C74" t="s">
        <v>106</v>
      </c>
      <c r="D74">
        <v>19</v>
      </c>
      <c r="E74" t="s">
        <v>379</v>
      </c>
      <c r="F74">
        <v>52.638360419175598</v>
      </c>
      <c r="G74">
        <v>4.7498383968971796</v>
      </c>
      <c r="H74">
        <v>6</v>
      </c>
      <c r="I74">
        <v>1</v>
      </c>
      <c r="J74">
        <v>52.638392605685702</v>
      </c>
      <c r="K74">
        <v>4.7498169392238196</v>
      </c>
      <c r="L74">
        <v>0</v>
      </c>
      <c r="M74">
        <v>1</v>
      </c>
      <c r="N74">
        <v>1.1000000000000001</v>
      </c>
      <c r="O74">
        <v>3.94</v>
      </c>
      <c r="P74">
        <v>-9</v>
      </c>
      <c r="Q74">
        <v>225</v>
      </c>
      <c r="R74">
        <v>0</v>
      </c>
      <c r="S74">
        <v>1</v>
      </c>
      <c r="T74">
        <v>1</v>
      </c>
      <c r="U74">
        <v>0</v>
      </c>
      <c r="V74">
        <v>0</v>
      </c>
      <c r="W74">
        <v>-90</v>
      </c>
      <c r="X74">
        <v>-180</v>
      </c>
      <c r="Y74">
        <v>0</v>
      </c>
      <c r="Z74">
        <v>0</v>
      </c>
      <c r="AA74">
        <v>0</v>
      </c>
      <c r="AB74">
        <v>0</v>
      </c>
    </row>
    <row r="75" spans="1:28" ht="13.95" customHeight="1" x14ac:dyDescent="0.3">
      <c r="A75" t="s">
        <v>380</v>
      </c>
      <c r="B75" s="13">
        <v>43071.618796296294</v>
      </c>
      <c r="C75" t="s">
        <v>107</v>
      </c>
      <c r="D75">
        <v>384</v>
      </c>
      <c r="E75" t="s">
        <v>381</v>
      </c>
      <c r="F75">
        <v>52.638489165216001</v>
      </c>
      <c r="G75">
        <v>4.7497311085302201</v>
      </c>
      <c r="H75">
        <v>0</v>
      </c>
      <c r="I75">
        <v>0.9</v>
      </c>
      <c r="J75">
        <v>52.638360419175598</v>
      </c>
      <c r="K75">
        <v>4.7497525662035898</v>
      </c>
      <c r="L75">
        <v>11</v>
      </c>
      <c r="M75">
        <v>1.1000000000000001</v>
      </c>
      <c r="N75">
        <v>0</v>
      </c>
      <c r="O75">
        <v>3.76</v>
      </c>
      <c r="P75">
        <v>-7</v>
      </c>
      <c r="Q75">
        <v>225</v>
      </c>
      <c r="R75">
        <v>0</v>
      </c>
      <c r="S75">
        <v>3</v>
      </c>
      <c r="T75">
        <v>1</v>
      </c>
      <c r="U75">
        <v>0</v>
      </c>
      <c r="V75">
        <v>0</v>
      </c>
      <c r="W75">
        <v>-90</v>
      </c>
      <c r="X75">
        <v>-180</v>
      </c>
      <c r="Y75">
        <v>0</v>
      </c>
      <c r="Z75">
        <v>0</v>
      </c>
      <c r="AA75">
        <v>0</v>
      </c>
      <c r="AB75">
        <v>0</v>
      </c>
    </row>
    <row r="76" spans="1:28" ht="13.95" customHeight="1" x14ac:dyDescent="0.3">
      <c r="A76" t="s">
        <v>382</v>
      </c>
      <c r="B76" s="13">
        <v>43071.618969907409</v>
      </c>
      <c r="C76" t="s">
        <v>65</v>
      </c>
      <c r="D76">
        <v>346</v>
      </c>
      <c r="E76" t="s">
        <v>383</v>
      </c>
      <c r="F76" s="37">
        <v>-5.36441834242396E-6</v>
      </c>
      <c r="G76" s="37">
        <v>-1.07288366848479E-5</v>
      </c>
      <c r="H76">
        <v>678</v>
      </c>
      <c r="I76">
        <v>20.2</v>
      </c>
      <c r="J76" s="37">
        <v>-5.36441834242396E-6</v>
      </c>
      <c r="K76" s="37">
        <v>-1.07288366848479E-5</v>
      </c>
      <c r="L76">
        <v>678</v>
      </c>
      <c r="M76">
        <v>20.2</v>
      </c>
      <c r="N76">
        <v>0</v>
      </c>
      <c r="O76">
        <v>4.1399999999999997</v>
      </c>
      <c r="P76">
        <v>-7</v>
      </c>
      <c r="Q76">
        <v>225</v>
      </c>
      <c r="R76">
        <v>0</v>
      </c>
      <c r="S76">
        <v>5</v>
      </c>
      <c r="T76">
        <v>1</v>
      </c>
      <c r="U76">
        <v>0</v>
      </c>
      <c r="V76">
        <v>0</v>
      </c>
      <c r="W76">
        <v>-90</v>
      </c>
      <c r="X76">
        <v>-180</v>
      </c>
      <c r="Y76">
        <v>0</v>
      </c>
      <c r="Z76">
        <v>0</v>
      </c>
      <c r="AA76">
        <v>0</v>
      </c>
      <c r="AB76">
        <v>0</v>
      </c>
    </row>
    <row r="77" spans="1:28" ht="13.95" customHeight="1" x14ac:dyDescent="0.3">
      <c r="A77" t="s">
        <v>384</v>
      </c>
      <c r="B77" s="13">
        <v>43071.621192129627</v>
      </c>
      <c r="C77" t="s">
        <v>233</v>
      </c>
      <c r="D77">
        <v>2</v>
      </c>
      <c r="E77" t="s">
        <v>385</v>
      </c>
      <c r="F77">
        <v>52.638360419175598</v>
      </c>
      <c r="G77">
        <v>4.7497954815503904</v>
      </c>
      <c r="H77">
        <v>0</v>
      </c>
      <c r="I77">
        <v>0.9</v>
      </c>
      <c r="J77">
        <v>52.638435521032498</v>
      </c>
      <c r="K77">
        <v>4.7497096508567997</v>
      </c>
      <c r="L77">
        <v>0</v>
      </c>
      <c r="M77">
        <v>1.1000000000000001</v>
      </c>
      <c r="N77">
        <v>0</v>
      </c>
      <c r="O77">
        <v>4.24</v>
      </c>
      <c r="P77">
        <v>-8</v>
      </c>
      <c r="Q77">
        <v>225</v>
      </c>
      <c r="R77">
        <v>0</v>
      </c>
      <c r="S77">
        <v>8</v>
      </c>
      <c r="T77">
        <v>1</v>
      </c>
      <c r="U77">
        <v>0</v>
      </c>
      <c r="V77">
        <v>0</v>
      </c>
      <c r="W77">
        <v>-90</v>
      </c>
      <c r="X77">
        <v>-180</v>
      </c>
      <c r="Y77">
        <v>0</v>
      </c>
      <c r="Z77">
        <v>0</v>
      </c>
      <c r="AA77">
        <v>0</v>
      </c>
      <c r="AB77">
        <v>0</v>
      </c>
    </row>
    <row r="78" spans="1:28" ht="13.95" customHeight="1" x14ac:dyDescent="0.3">
      <c r="A78" t="s">
        <v>386</v>
      </c>
      <c r="B78" s="13">
        <v>43071.621504629627</v>
      </c>
      <c r="C78" t="s">
        <v>106</v>
      </c>
      <c r="D78">
        <v>20</v>
      </c>
      <c r="E78" t="s">
        <v>387</v>
      </c>
      <c r="F78">
        <v>52.638424792195799</v>
      </c>
      <c r="G78">
        <v>4.7496238201632002</v>
      </c>
      <c r="H78">
        <v>2</v>
      </c>
      <c r="I78">
        <v>0.9</v>
      </c>
      <c r="J78">
        <v>52.638360419175598</v>
      </c>
      <c r="K78">
        <v>4.7498383968971796</v>
      </c>
      <c r="L78">
        <v>6</v>
      </c>
      <c r="M78">
        <v>1</v>
      </c>
      <c r="N78">
        <v>1.1000000000000001</v>
      </c>
      <c r="O78">
        <v>3.9</v>
      </c>
      <c r="P78">
        <v>-9</v>
      </c>
      <c r="Q78">
        <v>225</v>
      </c>
      <c r="R78">
        <v>0</v>
      </c>
      <c r="S78">
        <v>1</v>
      </c>
      <c r="T78">
        <v>1</v>
      </c>
      <c r="U78">
        <v>0</v>
      </c>
      <c r="V78">
        <v>0</v>
      </c>
      <c r="W78">
        <v>-90</v>
      </c>
      <c r="X78">
        <v>-180</v>
      </c>
      <c r="Y78">
        <v>0</v>
      </c>
      <c r="Z78">
        <v>0</v>
      </c>
      <c r="AA78">
        <v>0</v>
      </c>
      <c r="AB78">
        <v>0</v>
      </c>
    </row>
    <row r="79" spans="1:28" ht="13.95" customHeight="1" x14ac:dyDescent="0.3">
      <c r="A79" t="s">
        <v>388</v>
      </c>
      <c r="B79" s="13">
        <v>43071.621840277781</v>
      </c>
      <c r="C79" t="s">
        <v>65</v>
      </c>
      <c r="D79">
        <v>347</v>
      </c>
      <c r="E79" t="s">
        <v>389</v>
      </c>
      <c r="F79" s="37">
        <v>-5.36441834242396E-6</v>
      </c>
      <c r="G79" s="37">
        <v>-1.07288366848479E-5</v>
      </c>
      <c r="H79">
        <v>678</v>
      </c>
      <c r="I79">
        <v>20.2</v>
      </c>
      <c r="J79" s="37">
        <v>-5.36441834242396E-6</v>
      </c>
      <c r="K79" s="37">
        <v>-1.07288366848479E-5</v>
      </c>
      <c r="L79">
        <v>678</v>
      </c>
      <c r="M79">
        <v>20.2</v>
      </c>
      <c r="N79">
        <v>0</v>
      </c>
      <c r="O79">
        <v>4.0999999999999996</v>
      </c>
      <c r="P79">
        <v>-6</v>
      </c>
      <c r="Q79">
        <v>225</v>
      </c>
      <c r="R79">
        <v>0</v>
      </c>
      <c r="S79">
        <v>5</v>
      </c>
      <c r="T79">
        <v>1</v>
      </c>
      <c r="U79">
        <v>0</v>
      </c>
      <c r="V79">
        <v>0</v>
      </c>
      <c r="W79">
        <v>-90</v>
      </c>
      <c r="X79">
        <v>-180</v>
      </c>
      <c r="Y79">
        <v>0</v>
      </c>
      <c r="Z79">
        <v>0</v>
      </c>
      <c r="AA79">
        <v>0</v>
      </c>
      <c r="AB79">
        <v>0</v>
      </c>
    </row>
    <row r="80" spans="1:28" ht="13.95" customHeight="1" x14ac:dyDescent="0.3">
      <c r="A80" t="s">
        <v>390</v>
      </c>
      <c r="B80" s="13">
        <v>43071.623981481483</v>
      </c>
      <c r="C80" t="s">
        <v>233</v>
      </c>
      <c r="D80">
        <v>3</v>
      </c>
      <c r="E80" t="s">
        <v>391</v>
      </c>
      <c r="F80">
        <v>52.638167300115001</v>
      </c>
      <c r="G80">
        <v>4.7496881931834301</v>
      </c>
      <c r="H80">
        <v>22</v>
      </c>
      <c r="I80">
        <v>0.7</v>
      </c>
      <c r="J80">
        <v>52.638360419175598</v>
      </c>
      <c r="K80">
        <v>4.7497954815503904</v>
      </c>
      <c r="L80">
        <v>0</v>
      </c>
      <c r="M80">
        <v>0.9</v>
      </c>
      <c r="N80">
        <v>0</v>
      </c>
      <c r="O80">
        <v>4.24</v>
      </c>
      <c r="P80">
        <v>-6</v>
      </c>
      <c r="Q80">
        <v>225</v>
      </c>
      <c r="R80">
        <v>0</v>
      </c>
      <c r="S80">
        <v>8</v>
      </c>
      <c r="T80">
        <v>1</v>
      </c>
      <c r="U80">
        <v>0</v>
      </c>
      <c r="V80">
        <v>0</v>
      </c>
      <c r="W80">
        <v>-90</v>
      </c>
      <c r="X80">
        <v>-180</v>
      </c>
      <c r="Y80">
        <v>0</v>
      </c>
      <c r="Z80">
        <v>0</v>
      </c>
      <c r="AA80">
        <v>0</v>
      </c>
      <c r="AB80">
        <v>0</v>
      </c>
    </row>
    <row r="81" spans="1:28" ht="13.95" customHeight="1" x14ac:dyDescent="0.3">
      <c r="A81" t="s">
        <v>392</v>
      </c>
      <c r="B81" s="13">
        <v>43071.624293981484</v>
      </c>
      <c r="C81" t="s">
        <v>106</v>
      </c>
      <c r="D81">
        <v>21</v>
      </c>
      <c r="E81" t="s">
        <v>393</v>
      </c>
      <c r="F81">
        <v>52.638446249869197</v>
      </c>
      <c r="G81">
        <v>4.7497096508567997</v>
      </c>
      <c r="H81">
        <v>18</v>
      </c>
      <c r="I81">
        <v>1.5</v>
      </c>
      <c r="J81">
        <v>52.638424792195799</v>
      </c>
      <c r="K81">
        <v>4.7496238201632002</v>
      </c>
      <c r="L81">
        <v>2</v>
      </c>
      <c r="M81">
        <v>0.9</v>
      </c>
      <c r="N81">
        <v>1.1000000000000001</v>
      </c>
      <c r="O81">
        <v>3.96</v>
      </c>
      <c r="P81">
        <v>-9</v>
      </c>
      <c r="Q81">
        <v>225</v>
      </c>
      <c r="R81">
        <v>0</v>
      </c>
      <c r="S81">
        <v>1</v>
      </c>
      <c r="T81">
        <v>1</v>
      </c>
      <c r="U81">
        <v>0</v>
      </c>
      <c r="V81">
        <v>0</v>
      </c>
      <c r="W81">
        <v>-90</v>
      </c>
      <c r="X81">
        <v>-180</v>
      </c>
      <c r="Y81">
        <v>0</v>
      </c>
      <c r="Z81">
        <v>0</v>
      </c>
      <c r="AA81">
        <v>0</v>
      </c>
      <c r="AB81">
        <v>0</v>
      </c>
    </row>
    <row r="82" spans="1:28" ht="13.95" customHeight="1" x14ac:dyDescent="0.3">
      <c r="A82" t="s">
        <v>394</v>
      </c>
      <c r="B82" s="13">
        <v>43071.624374999999</v>
      </c>
      <c r="C82" t="s">
        <v>107</v>
      </c>
      <c r="D82">
        <v>386</v>
      </c>
      <c r="E82" t="s">
        <v>395</v>
      </c>
      <c r="F82">
        <v>52.638510622889399</v>
      </c>
      <c r="G82">
        <v>4.7496238201632002</v>
      </c>
      <c r="H82">
        <v>0</v>
      </c>
      <c r="I82">
        <v>1</v>
      </c>
      <c r="J82">
        <v>52.638456978705896</v>
      </c>
      <c r="K82">
        <v>4.7491946666952396</v>
      </c>
      <c r="L82">
        <v>51</v>
      </c>
      <c r="M82">
        <v>1</v>
      </c>
      <c r="N82">
        <v>0</v>
      </c>
      <c r="O82">
        <v>3.82</v>
      </c>
      <c r="P82">
        <v>-7</v>
      </c>
      <c r="Q82">
        <v>225</v>
      </c>
      <c r="R82">
        <v>0</v>
      </c>
      <c r="S82">
        <v>3</v>
      </c>
      <c r="T82">
        <v>1</v>
      </c>
      <c r="U82">
        <v>0</v>
      </c>
      <c r="V82">
        <v>0</v>
      </c>
      <c r="W82">
        <v>-90</v>
      </c>
      <c r="X82">
        <v>-180</v>
      </c>
      <c r="Y82">
        <v>0</v>
      </c>
      <c r="Z82">
        <v>0</v>
      </c>
      <c r="AA82">
        <v>0</v>
      </c>
      <c r="AB82">
        <v>0</v>
      </c>
    </row>
    <row r="83" spans="1:28" ht="13.95" customHeight="1" x14ac:dyDescent="0.3">
      <c r="A83" t="s">
        <v>396</v>
      </c>
      <c r="B83" s="13">
        <v>43071.624722222223</v>
      </c>
      <c r="C83" t="s">
        <v>65</v>
      </c>
      <c r="D83">
        <v>348</v>
      </c>
      <c r="E83" t="s">
        <v>397</v>
      </c>
      <c r="F83" s="37">
        <v>-5.36441834242396E-6</v>
      </c>
      <c r="G83" s="37">
        <v>-1.07288366848479E-5</v>
      </c>
      <c r="H83">
        <v>678</v>
      </c>
      <c r="I83">
        <v>20.2</v>
      </c>
      <c r="J83" s="37">
        <v>-5.36441834242396E-6</v>
      </c>
      <c r="K83" s="37">
        <v>-1.07288366848479E-5</v>
      </c>
      <c r="L83">
        <v>678</v>
      </c>
      <c r="M83">
        <v>20.2</v>
      </c>
      <c r="N83">
        <v>0</v>
      </c>
      <c r="O83">
        <v>4.1399999999999997</v>
      </c>
      <c r="P83">
        <v>-7</v>
      </c>
      <c r="Q83">
        <v>225</v>
      </c>
      <c r="R83">
        <v>0</v>
      </c>
      <c r="S83">
        <v>5</v>
      </c>
      <c r="T83">
        <v>1</v>
      </c>
      <c r="U83">
        <v>0</v>
      </c>
      <c r="V83">
        <v>0</v>
      </c>
      <c r="W83">
        <v>-90</v>
      </c>
      <c r="X83">
        <v>-180</v>
      </c>
      <c r="Y83">
        <v>0</v>
      </c>
      <c r="Z83">
        <v>0</v>
      </c>
      <c r="AA83">
        <v>0</v>
      </c>
      <c r="AB83">
        <v>0</v>
      </c>
    </row>
    <row r="84" spans="1:28" ht="13.95" customHeight="1" x14ac:dyDescent="0.3">
      <c r="A84" t="s">
        <v>398</v>
      </c>
      <c r="B84" s="13">
        <v>43071.627083333333</v>
      </c>
      <c r="C84" t="s">
        <v>106</v>
      </c>
      <c r="D84">
        <v>22</v>
      </c>
      <c r="E84" t="s">
        <v>399</v>
      </c>
      <c r="F84">
        <v>52.638532080562797</v>
      </c>
      <c r="G84">
        <v>4.74966673551</v>
      </c>
      <c r="H84">
        <v>0</v>
      </c>
      <c r="I84">
        <v>1.4</v>
      </c>
      <c r="J84">
        <v>52.638446249869197</v>
      </c>
      <c r="K84">
        <v>4.7497096508567997</v>
      </c>
      <c r="L84">
        <v>18</v>
      </c>
      <c r="M84">
        <v>1.5</v>
      </c>
      <c r="N84">
        <v>1.1000000000000001</v>
      </c>
      <c r="O84">
        <v>4</v>
      </c>
      <c r="P84">
        <v>-9</v>
      </c>
      <c r="Q84">
        <v>225</v>
      </c>
      <c r="R84">
        <v>0</v>
      </c>
      <c r="S84">
        <v>1</v>
      </c>
      <c r="T84">
        <v>1</v>
      </c>
      <c r="U84">
        <v>0</v>
      </c>
      <c r="V84">
        <v>0</v>
      </c>
      <c r="W84">
        <v>-90</v>
      </c>
      <c r="X84">
        <v>-180</v>
      </c>
      <c r="Y84">
        <v>0</v>
      </c>
      <c r="Z84">
        <v>0</v>
      </c>
      <c r="AA84">
        <v>0</v>
      </c>
      <c r="AB84">
        <v>0</v>
      </c>
    </row>
    <row r="85" spans="1:28" ht="13.95" customHeight="1" x14ac:dyDescent="0.3">
      <c r="A85" t="s">
        <v>400</v>
      </c>
      <c r="B85" s="13">
        <v>43071.627164351848</v>
      </c>
      <c r="C85" t="s">
        <v>107</v>
      </c>
      <c r="D85">
        <v>387</v>
      </c>
      <c r="E85" t="s">
        <v>401</v>
      </c>
      <c r="F85">
        <v>52.638403334522401</v>
      </c>
      <c r="G85">
        <v>4.7497740238770199</v>
      </c>
      <c r="H85">
        <v>0</v>
      </c>
      <c r="I85">
        <v>2.2000000000000002</v>
      </c>
      <c r="J85">
        <v>52.638510622889399</v>
      </c>
      <c r="K85">
        <v>4.7496238201632002</v>
      </c>
      <c r="L85">
        <v>0</v>
      </c>
      <c r="M85">
        <v>1</v>
      </c>
      <c r="N85">
        <v>0</v>
      </c>
      <c r="O85">
        <v>3.72</v>
      </c>
      <c r="P85">
        <v>-8</v>
      </c>
      <c r="Q85">
        <v>225</v>
      </c>
      <c r="R85">
        <v>0</v>
      </c>
      <c r="S85">
        <v>3</v>
      </c>
      <c r="T85">
        <v>1</v>
      </c>
      <c r="U85">
        <v>0</v>
      </c>
      <c r="V85">
        <v>0</v>
      </c>
      <c r="W85">
        <v>-90</v>
      </c>
      <c r="X85">
        <v>-180</v>
      </c>
      <c r="Y85">
        <v>0</v>
      </c>
      <c r="Z85">
        <v>0</v>
      </c>
      <c r="AA85">
        <v>0</v>
      </c>
      <c r="AB85">
        <v>0</v>
      </c>
    </row>
    <row r="86" spans="1:28" ht="13.95" customHeight="1" x14ac:dyDescent="0.3">
      <c r="A86" t="s">
        <v>402</v>
      </c>
      <c r="B86" s="13">
        <v>43071.627592592595</v>
      </c>
      <c r="C86" t="s">
        <v>65</v>
      </c>
      <c r="D86">
        <v>349</v>
      </c>
      <c r="E86" t="s">
        <v>403</v>
      </c>
      <c r="F86" s="37">
        <v>-5.36441834242396E-6</v>
      </c>
      <c r="G86" s="37">
        <v>-1.07288366848479E-5</v>
      </c>
      <c r="H86">
        <v>678</v>
      </c>
      <c r="I86">
        <v>20.2</v>
      </c>
      <c r="J86" s="37">
        <v>-5.36441834242396E-6</v>
      </c>
      <c r="K86" s="37">
        <v>-1.07288366848479E-5</v>
      </c>
      <c r="L86">
        <v>678</v>
      </c>
      <c r="M86">
        <v>20.2</v>
      </c>
      <c r="N86">
        <v>0</v>
      </c>
      <c r="O86">
        <v>4.1399999999999997</v>
      </c>
      <c r="P86">
        <v>-7</v>
      </c>
      <c r="Q86">
        <v>225</v>
      </c>
      <c r="R86">
        <v>0</v>
      </c>
      <c r="S86">
        <v>5</v>
      </c>
      <c r="T86">
        <v>1</v>
      </c>
      <c r="U86">
        <v>0</v>
      </c>
      <c r="V86">
        <v>0</v>
      </c>
      <c r="W86">
        <v>-90</v>
      </c>
      <c r="X86">
        <v>-180</v>
      </c>
      <c r="Y86">
        <v>0</v>
      </c>
      <c r="Z86">
        <v>0</v>
      </c>
      <c r="AA86">
        <v>0</v>
      </c>
      <c r="AB86">
        <v>0</v>
      </c>
    </row>
    <row r="87" spans="1:28" ht="13.95" customHeight="1" x14ac:dyDescent="0.3">
      <c r="A87" t="s">
        <v>404</v>
      </c>
      <c r="B87" s="13">
        <v>43071.629560185182</v>
      </c>
      <c r="C87" t="s">
        <v>233</v>
      </c>
      <c r="D87">
        <v>5</v>
      </c>
      <c r="E87" t="s">
        <v>405</v>
      </c>
      <c r="F87">
        <v>52.638199486625098</v>
      </c>
      <c r="G87">
        <v>4.7498598545706097</v>
      </c>
      <c r="H87">
        <v>24</v>
      </c>
      <c r="I87">
        <v>0.7</v>
      </c>
      <c r="J87">
        <v>52.638156571278301</v>
      </c>
      <c r="K87">
        <v>4.7499456852642004</v>
      </c>
      <c r="L87">
        <v>23</v>
      </c>
      <c r="M87">
        <v>0.7</v>
      </c>
      <c r="N87">
        <v>1.7</v>
      </c>
      <c r="O87">
        <v>4.28</v>
      </c>
      <c r="P87">
        <v>-4</v>
      </c>
      <c r="Q87">
        <v>225</v>
      </c>
      <c r="R87">
        <v>0</v>
      </c>
      <c r="S87">
        <v>8</v>
      </c>
      <c r="T87">
        <v>1</v>
      </c>
      <c r="U87">
        <v>0</v>
      </c>
      <c r="V87">
        <v>0</v>
      </c>
      <c r="W87">
        <v>-90</v>
      </c>
      <c r="X87">
        <v>-180</v>
      </c>
      <c r="Y87">
        <v>0</v>
      </c>
      <c r="Z87">
        <v>0</v>
      </c>
      <c r="AA87">
        <v>0</v>
      </c>
      <c r="AB87">
        <v>0</v>
      </c>
    </row>
    <row r="88" spans="1:28" ht="13.95" customHeight="1" x14ac:dyDescent="0.3">
      <c r="A88" t="s">
        <v>406</v>
      </c>
      <c r="B88" s="13">
        <v>43071.629872685182</v>
      </c>
      <c r="C88" t="s">
        <v>106</v>
      </c>
      <c r="D88">
        <v>23</v>
      </c>
      <c r="E88" t="s">
        <v>407</v>
      </c>
      <c r="F88">
        <v>52.638456978705896</v>
      </c>
      <c r="G88">
        <v>4.7497311085302201</v>
      </c>
      <c r="H88">
        <v>0</v>
      </c>
      <c r="I88">
        <v>1.1000000000000001</v>
      </c>
      <c r="J88">
        <v>52.638532080562797</v>
      </c>
      <c r="K88">
        <v>4.74966673551</v>
      </c>
      <c r="L88">
        <v>0</v>
      </c>
      <c r="M88">
        <v>1.4</v>
      </c>
      <c r="N88">
        <v>1.1000000000000001</v>
      </c>
      <c r="O88">
        <v>4</v>
      </c>
      <c r="P88">
        <v>-9</v>
      </c>
      <c r="Q88">
        <v>225</v>
      </c>
      <c r="R88">
        <v>0</v>
      </c>
      <c r="S88">
        <v>1</v>
      </c>
      <c r="T88">
        <v>1</v>
      </c>
      <c r="U88">
        <v>0</v>
      </c>
      <c r="V88">
        <v>0</v>
      </c>
      <c r="W88">
        <v>-90</v>
      </c>
      <c r="X88">
        <v>-180</v>
      </c>
      <c r="Y88">
        <v>0</v>
      </c>
      <c r="Z88">
        <v>0</v>
      </c>
      <c r="AA88">
        <v>0</v>
      </c>
      <c r="AB88">
        <v>0</v>
      </c>
    </row>
    <row r="89" spans="1:28" ht="13.95" customHeight="1" x14ac:dyDescent="0.3">
      <c r="A89" t="s">
        <v>408</v>
      </c>
      <c r="B89" s="13">
        <v>43071.629953703705</v>
      </c>
      <c r="C89" t="s">
        <v>107</v>
      </c>
      <c r="D89">
        <v>388</v>
      </c>
      <c r="E89" t="s">
        <v>409</v>
      </c>
      <c r="F89">
        <v>52.638242401971901</v>
      </c>
      <c r="G89">
        <v>4.74966673551</v>
      </c>
      <c r="H89">
        <v>38</v>
      </c>
      <c r="I89">
        <v>1.5</v>
      </c>
      <c r="J89">
        <v>52.638403334522401</v>
      </c>
      <c r="K89">
        <v>4.7497740238770199</v>
      </c>
      <c r="L89">
        <v>0</v>
      </c>
      <c r="M89">
        <v>2.2000000000000002</v>
      </c>
      <c r="N89">
        <v>0</v>
      </c>
      <c r="O89">
        <v>3.84</v>
      </c>
      <c r="P89">
        <v>-7</v>
      </c>
      <c r="Q89">
        <v>225</v>
      </c>
      <c r="R89">
        <v>0</v>
      </c>
      <c r="S89">
        <v>3</v>
      </c>
      <c r="T89">
        <v>1</v>
      </c>
      <c r="U89">
        <v>0</v>
      </c>
      <c r="V89">
        <v>0</v>
      </c>
      <c r="W89">
        <v>-90</v>
      </c>
      <c r="X89">
        <v>-180</v>
      </c>
      <c r="Y89">
        <v>0</v>
      </c>
      <c r="Z89">
        <v>0</v>
      </c>
      <c r="AA89">
        <v>0</v>
      </c>
      <c r="AB89">
        <v>0</v>
      </c>
    </row>
    <row r="90" spans="1:28" ht="13.95" customHeight="1" x14ac:dyDescent="0.3">
      <c r="A90" t="s">
        <v>410</v>
      </c>
      <c r="B90" s="13">
        <v>43071.630474537036</v>
      </c>
      <c r="C90" t="s">
        <v>65</v>
      </c>
      <c r="D90">
        <v>350</v>
      </c>
      <c r="E90" t="s">
        <v>411</v>
      </c>
      <c r="F90" s="37">
        <v>-5.36441834242396E-6</v>
      </c>
      <c r="G90" s="37">
        <v>-1.07288366848479E-5</v>
      </c>
      <c r="H90">
        <v>678</v>
      </c>
      <c r="I90">
        <v>20.2</v>
      </c>
      <c r="J90" s="37">
        <v>-5.36441834242396E-6</v>
      </c>
      <c r="K90" s="37">
        <v>-1.07288366848479E-5</v>
      </c>
      <c r="L90">
        <v>678</v>
      </c>
      <c r="M90">
        <v>20.2</v>
      </c>
      <c r="N90">
        <v>0</v>
      </c>
      <c r="O90">
        <v>4.1399999999999997</v>
      </c>
      <c r="P90">
        <v>-7</v>
      </c>
      <c r="Q90">
        <v>225</v>
      </c>
      <c r="R90">
        <v>0</v>
      </c>
      <c r="S90">
        <v>5</v>
      </c>
      <c r="T90">
        <v>1</v>
      </c>
      <c r="U90">
        <v>0</v>
      </c>
      <c r="V90">
        <v>0</v>
      </c>
      <c r="W90">
        <v>-90</v>
      </c>
      <c r="X90">
        <v>-180</v>
      </c>
      <c r="Y90">
        <v>0</v>
      </c>
      <c r="Z90">
        <v>0</v>
      </c>
      <c r="AA90">
        <v>0</v>
      </c>
      <c r="AB90">
        <v>0</v>
      </c>
    </row>
    <row r="91" spans="1:28" ht="13.95" customHeight="1" x14ac:dyDescent="0.3">
      <c r="A91" t="s">
        <v>412</v>
      </c>
      <c r="B91" s="13">
        <v>43071.632662037038</v>
      </c>
      <c r="C91" t="s">
        <v>106</v>
      </c>
      <c r="D91">
        <v>24</v>
      </c>
      <c r="E91" t="s">
        <v>413</v>
      </c>
      <c r="F91">
        <v>52.638403334522401</v>
      </c>
      <c r="G91">
        <v>4.7498169392238196</v>
      </c>
      <c r="H91">
        <v>1</v>
      </c>
      <c r="I91">
        <v>1.6</v>
      </c>
      <c r="J91">
        <v>52.638456978705896</v>
      </c>
      <c r="K91">
        <v>4.7497311085302201</v>
      </c>
      <c r="L91">
        <v>0</v>
      </c>
      <c r="M91">
        <v>1.1000000000000001</v>
      </c>
      <c r="N91">
        <v>1.1000000000000001</v>
      </c>
      <c r="O91">
        <v>4</v>
      </c>
      <c r="P91">
        <v>-9</v>
      </c>
      <c r="Q91">
        <v>225</v>
      </c>
      <c r="R91">
        <v>0</v>
      </c>
      <c r="S91">
        <v>1</v>
      </c>
      <c r="T91">
        <v>1</v>
      </c>
      <c r="U91">
        <v>0</v>
      </c>
      <c r="V91">
        <v>0</v>
      </c>
      <c r="W91">
        <v>-90</v>
      </c>
      <c r="X91">
        <v>-180</v>
      </c>
      <c r="Y91">
        <v>0</v>
      </c>
      <c r="Z91">
        <v>0</v>
      </c>
      <c r="AA91">
        <v>0</v>
      </c>
      <c r="AB91">
        <v>0</v>
      </c>
    </row>
    <row r="92" spans="1:28" ht="13.95" customHeight="1" x14ac:dyDescent="0.3">
      <c r="A92" t="s">
        <v>414</v>
      </c>
      <c r="B92" s="13">
        <v>43071.632743055554</v>
      </c>
      <c r="C92" t="s">
        <v>107</v>
      </c>
      <c r="D92">
        <v>389</v>
      </c>
      <c r="E92" t="s">
        <v>415</v>
      </c>
      <c r="F92">
        <v>52.638510622889399</v>
      </c>
      <c r="G92">
        <v>4.7497954815503904</v>
      </c>
      <c r="H92">
        <v>0</v>
      </c>
      <c r="I92">
        <v>2.2999999999999998</v>
      </c>
      <c r="J92">
        <v>52.638242401971901</v>
      </c>
      <c r="K92">
        <v>4.74966673551</v>
      </c>
      <c r="L92">
        <v>38</v>
      </c>
      <c r="M92">
        <v>1.5</v>
      </c>
      <c r="N92">
        <v>0</v>
      </c>
      <c r="O92">
        <v>3.84</v>
      </c>
      <c r="P92">
        <v>-7</v>
      </c>
      <c r="Q92">
        <v>225</v>
      </c>
      <c r="R92">
        <v>0</v>
      </c>
      <c r="S92">
        <v>3</v>
      </c>
      <c r="T92">
        <v>1</v>
      </c>
      <c r="U92">
        <v>0</v>
      </c>
      <c r="V92">
        <v>0</v>
      </c>
      <c r="W92">
        <v>-90</v>
      </c>
      <c r="X92">
        <v>-180</v>
      </c>
      <c r="Y92">
        <v>0</v>
      </c>
      <c r="Z92">
        <v>0</v>
      </c>
      <c r="AA92">
        <v>0</v>
      </c>
      <c r="AB92">
        <v>0</v>
      </c>
    </row>
    <row r="93" spans="1:28" ht="13.95" customHeight="1" x14ac:dyDescent="0.3">
      <c r="A93" t="s">
        <v>416</v>
      </c>
      <c r="B93" s="13">
        <v>43071.633344907408</v>
      </c>
      <c r="C93" t="s">
        <v>65</v>
      </c>
      <c r="D93">
        <v>351</v>
      </c>
      <c r="E93" t="s">
        <v>417</v>
      </c>
      <c r="F93" s="37">
        <v>-5.36441834242396E-6</v>
      </c>
      <c r="G93" s="37">
        <v>-1.07288366848479E-5</v>
      </c>
      <c r="H93">
        <v>678</v>
      </c>
      <c r="I93">
        <v>20.2</v>
      </c>
      <c r="J93" s="37">
        <v>-5.36441834242396E-6</v>
      </c>
      <c r="K93" s="37">
        <v>-1.07288366848479E-5</v>
      </c>
      <c r="L93">
        <v>678</v>
      </c>
      <c r="M93">
        <v>20.2</v>
      </c>
      <c r="N93">
        <v>0</v>
      </c>
      <c r="O93">
        <v>4.1399999999999997</v>
      </c>
      <c r="P93">
        <v>-7</v>
      </c>
      <c r="Q93">
        <v>225</v>
      </c>
      <c r="R93">
        <v>0</v>
      </c>
      <c r="S93">
        <v>5</v>
      </c>
      <c r="T93">
        <v>1</v>
      </c>
      <c r="U93">
        <v>0</v>
      </c>
      <c r="V93">
        <v>0</v>
      </c>
      <c r="W93">
        <v>-90</v>
      </c>
      <c r="X93">
        <v>-180</v>
      </c>
      <c r="Y93">
        <v>0</v>
      </c>
      <c r="Z93">
        <v>0</v>
      </c>
      <c r="AA93">
        <v>0</v>
      </c>
      <c r="AB93">
        <v>0</v>
      </c>
    </row>
    <row r="94" spans="1:28" ht="13.95" customHeight="1" x14ac:dyDescent="0.3">
      <c r="A94" t="s">
        <v>418</v>
      </c>
      <c r="B94" s="13">
        <v>43071.635138888887</v>
      </c>
      <c r="C94" t="s">
        <v>233</v>
      </c>
      <c r="D94">
        <v>7</v>
      </c>
      <c r="E94" t="s">
        <v>419</v>
      </c>
      <c r="F94">
        <v>52.638489165216001</v>
      </c>
      <c r="G94">
        <v>4.7497525662035898</v>
      </c>
      <c r="H94">
        <v>0</v>
      </c>
      <c r="I94">
        <v>0.9</v>
      </c>
      <c r="J94">
        <v>52.638403334522401</v>
      </c>
      <c r="K94">
        <v>4.7497525662035898</v>
      </c>
      <c r="L94">
        <v>0</v>
      </c>
      <c r="M94">
        <v>0.8</v>
      </c>
      <c r="N94">
        <v>0</v>
      </c>
      <c r="O94">
        <v>4.28</v>
      </c>
      <c r="P94">
        <v>-6</v>
      </c>
      <c r="Q94">
        <v>225</v>
      </c>
      <c r="R94">
        <v>0</v>
      </c>
      <c r="S94">
        <v>8</v>
      </c>
      <c r="T94">
        <v>1</v>
      </c>
      <c r="U94">
        <v>0</v>
      </c>
      <c r="V94">
        <v>0</v>
      </c>
      <c r="W94">
        <v>-90</v>
      </c>
      <c r="X94">
        <v>-180</v>
      </c>
      <c r="Y94">
        <v>0</v>
      </c>
      <c r="Z94">
        <v>0</v>
      </c>
      <c r="AA94">
        <v>0</v>
      </c>
      <c r="AB94">
        <v>0</v>
      </c>
    </row>
    <row r="95" spans="1:28" ht="13.95" customHeight="1" x14ac:dyDescent="0.3">
      <c r="A95" t="s">
        <v>420</v>
      </c>
      <c r="B95" s="13">
        <v>43071.635451388887</v>
      </c>
      <c r="C95" t="s">
        <v>106</v>
      </c>
      <c r="D95">
        <v>25</v>
      </c>
      <c r="E95" t="s">
        <v>421</v>
      </c>
      <c r="F95">
        <v>52.6384998940527</v>
      </c>
      <c r="G95">
        <v>4.7498598545706097</v>
      </c>
      <c r="H95">
        <v>0</v>
      </c>
      <c r="I95">
        <v>1.6</v>
      </c>
      <c r="J95">
        <v>52.638403334522401</v>
      </c>
      <c r="K95">
        <v>4.7498169392238196</v>
      </c>
      <c r="L95">
        <v>1</v>
      </c>
      <c r="M95">
        <v>1.6</v>
      </c>
      <c r="N95">
        <v>1.1000000000000001</v>
      </c>
      <c r="O95">
        <v>3.9</v>
      </c>
      <c r="P95">
        <v>-9</v>
      </c>
      <c r="Q95">
        <v>225</v>
      </c>
      <c r="R95">
        <v>0</v>
      </c>
      <c r="S95">
        <v>1</v>
      </c>
      <c r="T95">
        <v>1</v>
      </c>
      <c r="U95">
        <v>0</v>
      </c>
      <c r="V95">
        <v>0</v>
      </c>
      <c r="W95">
        <v>-90</v>
      </c>
      <c r="X95">
        <v>-180</v>
      </c>
      <c r="Y95">
        <v>0</v>
      </c>
      <c r="Z95">
        <v>0</v>
      </c>
      <c r="AA95">
        <v>0</v>
      </c>
      <c r="AB95">
        <v>0</v>
      </c>
    </row>
    <row r="96" spans="1:28" ht="13.95" customHeight="1" x14ac:dyDescent="0.3">
      <c r="A96" t="s">
        <v>422</v>
      </c>
      <c r="B96" s="13">
        <v>43071.63553240741</v>
      </c>
      <c r="C96" t="s">
        <v>107</v>
      </c>
      <c r="D96">
        <v>390</v>
      </c>
      <c r="E96" t="s">
        <v>423</v>
      </c>
      <c r="F96">
        <v>52.638585724746299</v>
      </c>
      <c r="G96">
        <v>4.7496881931834301</v>
      </c>
      <c r="H96">
        <v>0</v>
      </c>
      <c r="I96">
        <v>2.1</v>
      </c>
      <c r="J96">
        <v>52.638510622889399</v>
      </c>
      <c r="K96">
        <v>4.7497954815503904</v>
      </c>
      <c r="L96">
        <v>0</v>
      </c>
      <c r="M96">
        <v>2.2999999999999998</v>
      </c>
      <c r="N96">
        <v>0</v>
      </c>
      <c r="O96">
        <v>3.84</v>
      </c>
      <c r="P96">
        <v>-7</v>
      </c>
      <c r="Q96">
        <v>225</v>
      </c>
      <c r="R96">
        <v>0</v>
      </c>
      <c r="S96">
        <v>3</v>
      </c>
      <c r="T96">
        <v>1</v>
      </c>
      <c r="U96">
        <v>0</v>
      </c>
      <c r="V96">
        <v>0</v>
      </c>
      <c r="W96">
        <v>-90</v>
      </c>
      <c r="X96">
        <v>-180</v>
      </c>
      <c r="Y96">
        <v>0</v>
      </c>
      <c r="Z96">
        <v>0</v>
      </c>
      <c r="AA96">
        <v>0</v>
      </c>
      <c r="AB96">
        <v>0</v>
      </c>
    </row>
    <row r="97" spans="1:28" ht="13.95" customHeight="1" x14ac:dyDescent="0.3">
      <c r="A97" t="s">
        <v>424</v>
      </c>
      <c r="B97" s="13">
        <v>43071.63622685185</v>
      </c>
      <c r="C97" t="s">
        <v>65</v>
      </c>
      <c r="D97">
        <v>352</v>
      </c>
      <c r="E97" t="s">
        <v>425</v>
      </c>
      <c r="F97" s="37">
        <v>-5.36441834242396E-6</v>
      </c>
      <c r="G97" s="37">
        <v>-1.07288366848479E-5</v>
      </c>
      <c r="H97">
        <v>678</v>
      </c>
      <c r="I97">
        <v>20.2</v>
      </c>
      <c r="J97" s="37">
        <v>-5.36441834242396E-6</v>
      </c>
      <c r="K97" s="37">
        <v>-1.07288366848479E-5</v>
      </c>
      <c r="L97">
        <v>678</v>
      </c>
      <c r="M97">
        <v>20.2</v>
      </c>
      <c r="N97">
        <v>0</v>
      </c>
      <c r="O97">
        <v>4.1399999999999997</v>
      </c>
      <c r="P97">
        <v>-7</v>
      </c>
      <c r="Q97">
        <v>225</v>
      </c>
      <c r="R97">
        <v>0</v>
      </c>
      <c r="S97">
        <v>5</v>
      </c>
      <c r="T97">
        <v>1</v>
      </c>
      <c r="U97">
        <v>0</v>
      </c>
      <c r="V97">
        <v>0</v>
      </c>
      <c r="W97">
        <v>-90</v>
      </c>
      <c r="X97">
        <v>-180</v>
      </c>
      <c r="Y97">
        <v>0</v>
      </c>
      <c r="Z97">
        <v>0</v>
      </c>
      <c r="AA97">
        <v>0</v>
      </c>
      <c r="AB97">
        <v>0</v>
      </c>
    </row>
    <row r="98" spans="1:28" ht="13.95" customHeight="1" x14ac:dyDescent="0.3">
      <c r="A98" t="s">
        <v>426</v>
      </c>
      <c r="B98" s="13">
        <v>43071.638240740744</v>
      </c>
      <c r="C98" t="s">
        <v>106</v>
      </c>
      <c r="D98">
        <v>26</v>
      </c>
      <c r="E98" t="s">
        <v>427</v>
      </c>
      <c r="F98">
        <v>52.638371148012297</v>
      </c>
      <c r="G98">
        <v>4.7498813122439802</v>
      </c>
      <c r="H98">
        <v>0</v>
      </c>
      <c r="I98">
        <v>1.5</v>
      </c>
      <c r="J98">
        <v>52.6384998940527</v>
      </c>
      <c r="K98">
        <v>4.7498598545706097</v>
      </c>
      <c r="L98">
        <v>0</v>
      </c>
      <c r="M98">
        <v>1.6</v>
      </c>
      <c r="N98">
        <v>1.1000000000000001</v>
      </c>
      <c r="O98">
        <v>3.9</v>
      </c>
      <c r="P98">
        <v>-9</v>
      </c>
      <c r="Q98">
        <v>225</v>
      </c>
      <c r="R98">
        <v>0</v>
      </c>
      <c r="S98">
        <v>1</v>
      </c>
      <c r="T98">
        <v>1</v>
      </c>
      <c r="U98">
        <v>0</v>
      </c>
      <c r="V98">
        <v>0</v>
      </c>
      <c r="W98">
        <v>-90</v>
      </c>
      <c r="X98">
        <v>-180</v>
      </c>
      <c r="Y98">
        <v>0</v>
      </c>
      <c r="Z98">
        <v>0</v>
      </c>
      <c r="AA98">
        <v>0</v>
      </c>
      <c r="AB98">
        <v>0</v>
      </c>
    </row>
    <row r="99" spans="1:28" ht="13.95" customHeight="1" x14ac:dyDescent="0.3">
      <c r="A99" t="s">
        <v>428</v>
      </c>
      <c r="B99" s="13">
        <v>43071.638321759259</v>
      </c>
      <c r="C99" t="s">
        <v>107</v>
      </c>
      <c r="D99">
        <v>391</v>
      </c>
      <c r="E99" t="s">
        <v>429</v>
      </c>
      <c r="F99">
        <v>52.6384998940527</v>
      </c>
      <c r="G99">
        <v>4.7497311085302201</v>
      </c>
      <c r="H99">
        <v>0</v>
      </c>
      <c r="I99">
        <v>1.8</v>
      </c>
      <c r="J99">
        <v>52.638585724746299</v>
      </c>
      <c r="K99">
        <v>4.7496881931834301</v>
      </c>
      <c r="L99">
        <v>0</v>
      </c>
      <c r="M99">
        <v>2.1</v>
      </c>
      <c r="N99">
        <v>0</v>
      </c>
      <c r="O99">
        <v>3.84</v>
      </c>
      <c r="P99">
        <v>-7</v>
      </c>
      <c r="Q99">
        <v>225</v>
      </c>
      <c r="R99">
        <v>0</v>
      </c>
      <c r="S99">
        <v>3</v>
      </c>
      <c r="T99">
        <v>1</v>
      </c>
      <c r="U99">
        <v>0</v>
      </c>
      <c r="V99">
        <v>0</v>
      </c>
      <c r="W99">
        <v>-90</v>
      </c>
      <c r="X99">
        <v>-180</v>
      </c>
      <c r="Y99">
        <v>0</v>
      </c>
      <c r="Z99">
        <v>0</v>
      </c>
      <c r="AA99">
        <v>0</v>
      </c>
      <c r="AB99">
        <v>0</v>
      </c>
    </row>
    <row r="100" spans="1:28" ht="13.95" customHeight="1" x14ac:dyDescent="0.3">
      <c r="A100" t="s">
        <v>430</v>
      </c>
      <c r="B100" s="13">
        <v>43071.639097222222</v>
      </c>
      <c r="C100" t="s">
        <v>65</v>
      </c>
      <c r="D100">
        <v>353</v>
      </c>
      <c r="E100" t="s">
        <v>431</v>
      </c>
      <c r="F100" s="37">
        <v>-5.36441834242396E-6</v>
      </c>
      <c r="G100" s="37">
        <v>-1.07288366848479E-5</v>
      </c>
      <c r="H100">
        <v>678</v>
      </c>
      <c r="I100">
        <v>20.2</v>
      </c>
      <c r="J100" s="37">
        <v>-5.36441834242396E-6</v>
      </c>
      <c r="K100" s="37">
        <v>-1.07288366848479E-5</v>
      </c>
      <c r="L100">
        <v>678</v>
      </c>
      <c r="M100">
        <v>20.2</v>
      </c>
      <c r="N100">
        <v>0</v>
      </c>
      <c r="O100">
        <v>4.12</v>
      </c>
      <c r="P100">
        <v>-7</v>
      </c>
      <c r="Q100">
        <v>225</v>
      </c>
      <c r="R100">
        <v>0</v>
      </c>
      <c r="S100">
        <v>5</v>
      </c>
      <c r="T100">
        <v>1</v>
      </c>
      <c r="U100">
        <v>0</v>
      </c>
      <c r="V100">
        <v>0</v>
      </c>
      <c r="W100">
        <v>-90</v>
      </c>
      <c r="X100">
        <v>-180</v>
      </c>
      <c r="Y100">
        <v>0</v>
      </c>
      <c r="Z100">
        <v>0</v>
      </c>
      <c r="AA100">
        <v>0</v>
      </c>
      <c r="AB100">
        <v>0</v>
      </c>
    </row>
    <row r="101" spans="1:28" ht="13.95" customHeight="1" x14ac:dyDescent="0.3">
      <c r="A101" t="s">
        <v>432</v>
      </c>
      <c r="B101" s="13">
        <v>43071.641030092593</v>
      </c>
      <c r="C101" t="s">
        <v>106</v>
      </c>
      <c r="D101">
        <v>27</v>
      </c>
      <c r="E101" t="s">
        <v>433</v>
      </c>
      <c r="F101">
        <v>52.638456978705896</v>
      </c>
      <c r="G101">
        <v>4.7497740238770199</v>
      </c>
      <c r="H101">
        <v>0</v>
      </c>
      <c r="I101">
        <v>1.3</v>
      </c>
      <c r="J101">
        <v>52.638371148012297</v>
      </c>
      <c r="K101">
        <v>4.7498813122439802</v>
      </c>
      <c r="L101">
        <v>0</v>
      </c>
      <c r="M101">
        <v>1.5</v>
      </c>
      <c r="N101">
        <v>1.1000000000000001</v>
      </c>
      <c r="O101">
        <v>4.08</v>
      </c>
      <c r="P101">
        <v>-9</v>
      </c>
      <c r="Q101">
        <v>225</v>
      </c>
      <c r="R101">
        <v>0</v>
      </c>
      <c r="S101">
        <v>1</v>
      </c>
      <c r="T101">
        <v>1</v>
      </c>
      <c r="U101">
        <v>0</v>
      </c>
      <c r="V101">
        <v>0</v>
      </c>
      <c r="W101">
        <v>-90</v>
      </c>
      <c r="X101">
        <v>-180</v>
      </c>
      <c r="Y101">
        <v>0</v>
      </c>
      <c r="Z101">
        <v>0</v>
      </c>
      <c r="AA101">
        <v>0</v>
      </c>
      <c r="AB101">
        <v>0</v>
      </c>
    </row>
    <row r="102" spans="1:28" ht="13.95" customHeight="1" x14ac:dyDescent="0.3">
      <c r="A102" t="s">
        <v>435</v>
      </c>
      <c r="B102" s="13">
        <v>43071.641597222224</v>
      </c>
      <c r="C102" t="s">
        <v>233</v>
      </c>
      <c r="D102">
        <v>0</v>
      </c>
      <c r="E102" t="s">
        <v>434</v>
      </c>
      <c r="F102">
        <v>52.638371148012297</v>
      </c>
      <c r="G102">
        <v>4.7497096508567997</v>
      </c>
      <c r="H102">
        <v>0</v>
      </c>
      <c r="I102">
        <v>0.9</v>
      </c>
      <c r="J102">
        <v>-90</v>
      </c>
      <c r="K102">
        <v>-180</v>
      </c>
      <c r="L102">
        <v>0</v>
      </c>
      <c r="M102">
        <v>0</v>
      </c>
      <c r="N102">
        <v>1.1000000000000001</v>
      </c>
      <c r="O102">
        <v>4.0599999999999996</v>
      </c>
      <c r="P102">
        <v>-9</v>
      </c>
      <c r="Q102">
        <v>225</v>
      </c>
      <c r="R102">
        <v>0</v>
      </c>
      <c r="S102">
        <v>8</v>
      </c>
      <c r="T102">
        <v>1</v>
      </c>
      <c r="U102">
        <v>0</v>
      </c>
      <c r="V102">
        <v>0</v>
      </c>
      <c r="W102">
        <v>-90</v>
      </c>
      <c r="X102">
        <v>-180</v>
      </c>
      <c r="Y102">
        <v>0</v>
      </c>
      <c r="Z102">
        <v>0</v>
      </c>
      <c r="AA102">
        <v>0</v>
      </c>
      <c r="AB102">
        <v>0</v>
      </c>
    </row>
    <row r="103" spans="1:28" ht="13.95" customHeight="1" x14ac:dyDescent="0.3">
      <c r="A103" t="s">
        <v>436</v>
      </c>
      <c r="B103" s="13">
        <v>43071.641979166663</v>
      </c>
      <c r="C103" t="s">
        <v>65</v>
      </c>
      <c r="D103">
        <v>354</v>
      </c>
      <c r="E103" t="s">
        <v>437</v>
      </c>
      <c r="F103" s="37">
        <v>-5.36441834242396E-6</v>
      </c>
      <c r="G103" s="37">
        <v>-1.07288366848479E-5</v>
      </c>
      <c r="H103">
        <v>678</v>
      </c>
      <c r="I103">
        <v>20.2</v>
      </c>
      <c r="J103" s="37">
        <v>-5.36441834242396E-6</v>
      </c>
      <c r="K103" s="37">
        <v>-1.07288366848479E-5</v>
      </c>
      <c r="L103">
        <v>678</v>
      </c>
      <c r="M103">
        <v>20.2</v>
      </c>
      <c r="N103">
        <v>0</v>
      </c>
      <c r="O103">
        <v>4.1399999999999997</v>
      </c>
      <c r="P103">
        <v>-7</v>
      </c>
      <c r="Q103">
        <v>225</v>
      </c>
      <c r="R103">
        <v>0</v>
      </c>
      <c r="S103">
        <v>5</v>
      </c>
      <c r="T103">
        <v>1</v>
      </c>
      <c r="U103">
        <v>0</v>
      </c>
      <c r="V103">
        <v>0</v>
      </c>
      <c r="W103">
        <v>-90</v>
      </c>
      <c r="X103">
        <v>-180</v>
      </c>
      <c r="Y103">
        <v>0</v>
      </c>
      <c r="Z103">
        <v>0</v>
      </c>
      <c r="AA103">
        <v>0</v>
      </c>
      <c r="AB103">
        <v>0</v>
      </c>
    </row>
    <row r="104" spans="1:28" ht="13.95" customHeight="1" x14ac:dyDescent="0.3">
      <c r="A104" t="s">
        <v>438</v>
      </c>
      <c r="B104" s="13">
        <v>43071.642013888886</v>
      </c>
      <c r="C104" t="s">
        <v>233</v>
      </c>
      <c r="D104">
        <v>0</v>
      </c>
      <c r="E104" t="s">
        <v>439</v>
      </c>
      <c r="F104">
        <v>52.638392605685702</v>
      </c>
      <c r="G104">
        <v>4.7497096508567997</v>
      </c>
      <c r="H104">
        <v>0</v>
      </c>
      <c r="I104">
        <v>0.9</v>
      </c>
      <c r="J104">
        <v>-90</v>
      </c>
      <c r="K104">
        <v>-180</v>
      </c>
      <c r="L104">
        <v>0</v>
      </c>
      <c r="M104">
        <v>0</v>
      </c>
      <c r="N104">
        <v>0</v>
      </c>
      <c r="O104">
        <v>4.0599999999999996</v>
      </c>
      <c r="P104">
        <v>-9</v>
      </c>
      <c r="Q104">
        <v>225</v>
      </c>
      <c r="R104">
        <v>0</v>
      </c>
      <c r="S104">
        <v>8</v>
      </c>
      <c r="T104">
        <v>1</v>
      </c>
      <c r="U104">
        <v>0</v>
      </c>
      <c r="V104">
        <v>0</v>
      </c>
      <c r="W104">
        <v>-90</v>
      </c>
      <c r="X104">
        <v>-180</v>
      </c>
      <c r="Y104">
        <v>0</v>
      </c>
      <c r="Z104">
        <v>0</v>
      </c>
      <c r="AA104">
        <v>0</v>
      </c>
      <c r="AB104">
        <v>0</v>
      </c>
    </row>
    <row r="105" spans="1:28" ht="13.95" customHeight="1" x14ac:dyDescent="0.3">
      <c r="A105" t="s">
        <v>440</v>
      </c>
      <c r="B105" s="13">
        <v>43071.643819444442</v>
      </c>
      <c r="C105" t="s">
        <v>106</v>
      </c>
      <c r="D105">
        <v>28</v>
      </c>
      <c r="E105" t="s">
        <v>441</v>
      </c>
      <c r="F105">
        <v>52.6384998940527</v>
      </c>
      <c r="G105">
        <v>4.7497096508567997</v>
      </c>
      <c r="H105">
        <v>0</v>
      </c>
      <c r="I105">
        <v>1.4</v>
      </c>
      <c r="J105">
        <v>52.638456978705896</v>
      </c>
      <c r="K105">
        <v>4.7497740238770199</v>
      </c>
      <c r="L105">
        <v>0</v>
      </c>
      <c r="M105">
        <v>1.3</v>
      </c>
      <c r="N105">
        <v>0</v>
      </c>
      <c r="O105">
        <v>4.12</v>
      </c>
      <c r="P105">
        <v>-8</v>
      </c>
      <c r="Q105">
        <v>225</v>
      </c>
      <c r="R105">
        <v>0</v>
      </c>
      <c r="S105">
        <v>1</v>
      </c>
      <c r="T105">
        <v>1</v>
      </c>
      <c r="U105">
        <v>0</v>
      </c>
      <c r="V105">
        <v>0</v>
      </c>
      <c r="W105">
        <v>-90</v>
      </c>
      <c r="X105">
        <v>-180</v>
      </c>
      <c r="Y105">
        <v>0</v>
      </c>
      <c r="Z105">
        <v>0</v>
      </c>
      <c r="AA105">
        <v>0</v>
      </c>
      <c r="AB105">
        <v>0</v>
      </c>
    </row>
    <row r="106" spans="1:28" ht="13.95" customHeight="1" x14ac:dyDescent="0.3">
      <c r="A106" t="s">
        <v>443</v>
      </c>
      <c r="B106" s="13">
        <v>43071.643900462965</v>
      </c>
      <c r="C106" t="s">
        <v>107</v>
      </c>
      <c r="D106">
        <v>393</v>
      </c>
      <c r="E106" t="s">
        <v>442</v>
      </c>
      <c r="F106">
        <v>52.638446249869197</v>
      </c>
      <c r="G106">
        <v>4.7496881931834301</v>
      </c>
      <c r="H106">
        <v>3</v>
      </c>
      <c r="I106">
        <v>1.8</v>
      </c>
      <c r="J106">
        <v>52.6386608266032</v>
      </c>
      <c r="K106">
        <v>4.7495594471430396</v>
      </c>
      <c r="L106">
        <v>0</v>
      </c>
      <c r="M106">
        <v>1.9</v>
      </c>
      <c r="N106">
        <v>0</v>
      </c>
      <c r="O106">
        <v>3.78</v>
      </c>
      <c r="P106">
        <v>-8</v>
      </c>
      <c r="Q106">
        <v>225</v>
      </c>
      <c r="R106">
        <v>0</v>
      </c>
      <c r="S106">
        <v>3</v>
      </c>
      <c r="T106">
        <v>1</v>
      </c>
      <c r="U106">
        <v>0</v>
      </c>
      <c r="V106">
        <v>0</v>
      </c>
      <c r="W106">
        <v>-90</v>
      </c>
      <c r="X106">
        <v>-180</v>
      </c>
      <c r="Y106">
        <v>0</v>
      </c>
      <c r="Z106">
        <v>0</v>
      </c>
      <c r="AA106">
        <v>0</v>
      </c>
      <c r="AB106">
        <v>0</v>
      </c>
    </row>
    <row r="107" spans="1:28" ht="13.95" customHeight="1" x14ac:dyDescent="0.3">
      <c r="A107" t="s">
        <v>444</v>
      </c>
      <c r="B107" s="13">
        <v>43071.644803240742</v>
      </c>
      <c r="C107" t="s">
        <v>233</v>
      </c>
      <c r="D107">
        <v>1</v>
      </c>
      <c r="E107" t="s">
        <v>445</v>
      </c>
      <c r="F107">
        <v>52.638424792195799</v>
      </c>
      <c r="G107">
        <v>4.7497096508567997</v>
      </c>
      <c r="H107">
        <v>0</v>
      </c>
      <c r="I107">
        <v>0.8</v>
      </c>
      <c r="J107">
        <v>52.638392605685702</v>
      </c>
      <c r="K107">
        <v>4.7497096508567997</v>
      </c>
      <c r="L107">
        <v>0</v>
      </c>
      <c r="M107">
        <v>0.9</v>
      </c>
      <c r="N107">
        <v>0</v>
      </c>
      <c r="O107">
        <v>4.18</v>
      </c>
      <c r="P107">
        <v>-8</v>
      </c>
      <c r="Q107">
        <v>225</v>
      </c>
      <c r="R107">
        <v>0</v>
      </c>
      <c r="S107">
        <v>8</v>
      </c>
      <c r="T107">
        <v>1</v>
      </c>
      <c r="U107">
        <v>0</v>
      </c>
      <c r="V107">
        <v>0</v>
      </c>
      <c r="W107">
        <v>-90</v>
      </c>
      <c r="X107">
        <v>-180</v>
      </c>
      <c r="Y107">
        <v>0</v>
      </c>
      <c r="Z107">
        <v>0</v>
      </c>
      <c r="AA107">
        <v>0</v>
      </c>
      <c r="AB107">
        <v>0</v>
      </c>
    </row>
    <row r="108" spans="1:28" ht="13.95" customHeight="1" x14ac:dyDescent="0.3">
      <c r="A108" t="s">
        <v>446</v>
      </c>
      <c r="B108" s="13">
        <v>43071.646608796298</v>
      </c>
      <c r="C108" t="s">
        <v>106</v>
      </c>
      <c r="D108">
        <v>29</v>
      </c>
      <c r="E108" t="s">
        <v>447</v>
      </c>
      <c r="F108">
        <v>52.638392605685702</v>
      </c>
      <c r="G108">
        <v>4.7497525662035898</v>
      </c>
      <c r="H108">
        <v>0</v>
      </c>
      <c r="I108">
        <v>1.3</v>
      </c>
      <c r="J108">
        <v>52.6384998940527</v>
      </c>
      <c r="K108">
        <v>4.7497096508567997</v>
      </c>
      <c r="L108">
        <v>0</v>
      </c>
      <c r="M108">
        <v>1.4</v>
      </c>
      <c r="N108">
        <v>1.1000000000000001</v>
      </c>
      <c r="O108">
        <v>4.0599999999999996</v>
      </c>
      <c r="P108">
        <v>-9</v>
      </c>
      <c r="Q108">
        <v>225</v>
      </c>
      <c r="R108">
        <v>0</v>
      </c>
      <c r="S108">
        <v>1</v>
      </c>
      <c r="T108">
        <v>1</v>
      </c>
      <c r="U108">
        <v>0</v>
      </c>
      <c r="V108">
        <v>0</v>
      </c>
      <c r="W108">
        <v>-90</v>
      </c>
      <c r="X108">
        <v>-180</v>
      </c>
      <c r="Y108">
        <v>0</v>
      </c>
      <c r="Z108">
        <v>0</v>
      </c>
      <c r="AA108">
        <v>0</v>
      </c>
      <c r="AB108">
        <v>0</v>
      </c>
    </row>
    <row r="109" spans="1:28" ht="13.95" customHeight="1" x14ac:dyDescent="0.3">
      <c r="A109" t="s">
        <v>448</v>
      </c>
      <c r="B109" s="13">
        <v>43071.646689814814</v>
      </c>
      <c r="C109" t="s">
        <v>107</v>
      </c>
      <c r="D109">
        <v>394</v>
      </c>
      <c r="E109" t="s">
        <v>449</v>
      </c>
      <c r="F109">
        <v>52.638070740584702</v>
      </c>
      <c r="G109">
        <v>4.7500100582843698</v>
      </c>
      <c r="H109">
        <v>41</v>
      </c>
      <c r="I109">
        <v>2.1</v>
      </c>
      <c r="J109">
        <v>52.638446249869197</v>
      </c>
      <c r="K109">
        <v>4.7496881931834301</v>
      </c>
      <c r="L109">
        <v>3</v>
      </c>
      <c r="M109">
        <v>1.8</v>
      </c>
      <c r="N109">
        <v>0</v>
      </c>
      <c r="O109">
        <v>3.76</v>
      </c>
      <c r="P109">
        <v>-8</v>
      </c>
      <c r="Q109">
        <v>225</v>
      </c>
      <c r="R109">
        <v>0</v>
      </c>
      <c r="S109">
        <v>3</v>
      </c>
      <c r="T109">
        <v>1</v>
      </c>
      <c r="U109">
        <v>0</v>
      </c>
      <c r="V109">
        <v>0</v>
      </c>
      <c r="W109">
        <v>-90</v>
      </c>
      <c r="X109">
        <v>-180</v>
      </c>
      <c r="Y109">
        <v>0</v>
      </c>
      <c r="Z109">
        <v>0</v>
      </c>
      <c r="AA109">
        <v>0</v>
      </c>
      <c r="AB109">
        <v>0</v>
      </c>
    </row>
    <row r="110" spans="1:28" ht="13.95" customHeight="1" x14ac:dyDescent="0.3">
      <c r="A110" t="s">
        <v>450</v>
      </c>
      <c r="B110" s="13">
        <v>43071.647592592592</v>
      </c>
      <c r="C110" t="s">
        <v>233</v>
      </c>
      <c r="D110">
        <v>2</v>
      </c>
      <c r="E110" t="s">
        <v>451</v>
      </c>
      <c r="F110">
        <v>52.638403334522401</v>
      </c>
      <c r="G110">
        <v>4.7497096508567997</v>
      </c>
      <c r="H110">
        <v>4</v>
      </c>
      <c r="I110">
        <v>0.9</v>
      </c>
      <c r="J110">
        <v>52.638424792195799</v>
      </c>
      <c r="K110">
        <v>4.7497096508567997</v>
      </c>
      <c r="L110">
        <v>0</v>
      </c>
      <c r="M110">
        <v>0.8</v>
      </c>
      <c r="N110">
        <v>0</v>
      </c>
      <c r="O110">
        <v>4.18</v>
      </c>
      <c r="P110">
        <v>-7</v>
      </c>
      <c r="Q110">
        <v>225</v>
      </c>
      <c r="R110">
        <v>0</v>
      </c>
      <c r="S110">
        <v>8</v>
      </c>
      <c r="T110">
        <v>1</v>
      </c>
      <c r="U110">
        <v>0</v>
      </c>
      <c r="V110">
        <v>0</v>
      </c>
      <c r="W110">
        <v>-90</v>
      </c>
      <c r="X110">
        <v>-180</v>
      </c>
      <c r="Y110">
        <v>0</v>
      </c>
      <c r="Z110">
        <v>0</v>
      </c>
      <c r="AA110">
        <v>0</v>
      </c>
      <c r="AB110">
        <v>0</v>
      </c>
    </row>
    <row r="111" spans="1:28" ht="13.95" customHeight="1" x14ac:dyDescent="0.3">
      <c r="A111" t="s">
        <v>452</v>
      </c>
      <c r="B111" s="13">
        <v>43071.647731481484</v>
      </c>
      <c r="C111" t="s">
        <v>65</v>
      </c>
      <c r="D111">
        <v>356</v>
      </c>
      <c r="E111" t="s">
        <v>453</v>
      </c>
      <c r="F111" s="37">
        <v>-5.36441834242396E-6</v>
      </c>
      <c r="G111" s="37">
        <v>-1.07288366848479E-5</v>
      </c>
      <c r="H111">
        <v>678</v>
      </c>
      <c r="I111">
        <v>20.2</v>
      </c>
      <c r="J111" s="37">
        <v>-5.36441834242396E-6</v>
      </c>
      <c r="K111" s="37">
        <v>-1.07288366848479E-5</v>
      </c>
      <c r="L111">
        <v>678</v>
      </c>
      <c r="M111">
        <v>20.2</v>
      </c>
      <c r="N111">
        <v>0</v>
      </c>
      <c r="O111">
        <v>4.12</v>
      </c>
      <c r="P111">
        <v>-7</v>
      </c>
      <c r="Q111">
        <v>225</v>
      </c>
      <c r="R111">
        <v>0</v>
      </c>
      <c r="S111">
        <v>5</v>
      </c>
      <c r="T111">
        <v>1</v>
      </c>
      <c r="U111">
        <v>0</v>
      </c>
      <c r="V111">
        <v>0</v>
      </c>
      <c r="W111">
        <v>-90</v>
      </c>
      <c r="X111">
        <v>-180</v>
      </c>
      <c r="Y111">
        <v>0</v>
      </c>
      <c r="Z111">
        <v>0</v>
      </c>
      <c r="AA111">
        <v>0</v>
      </c>
      <c r="AB111">
        <v>0</v>
      </c>
    </row>
    <row r="112" spans="1:28" ht="13.95" customHeight="1" x14ac:dyDescent="0.3">
      <c r="A112" t="s">
        <v>454</v>
      </c>
      <c r="B112" s="13">
        <v>43071.649398148147</v>
      </c>
      <c r="C112" t="s">
        <v>106</v>
      </c>
      <c r="D112">
        <v>30</v>
      </c>
      <c r="E112" t="s">
        <v>455</v>
      </c>
      <c r="F112">
        <v>52.638456978705896</v>
      </c>
      <c r="G112">
        <v>4.74966673551</v>
      </c>
      <c r="H112">
        <v>0</v>
      </c>
      <c r="I112">
        <v>1.2</v>
      </c>
      <c r="J112">
        <v>52.638392605685702</v>
      </c>
      <c r="K112">
        <v>4.7497525662035898</v>
      </c>
      <c r="L112">
        <v>0</v>
      </c>
      <c r="M112">
        <v>1.3</v>
      </c>
      <c r="N112">
        <v>0</v>
      </c>
      <c r="O112">
        <v>4.1399999999999997</v>
      </c>
      <c r="P112">
        <v>-9</v>
      </c>
      <c r="Q112">
        <v>225</v>
      </c>
      <c r="R112">
        <v>0</v>
      </c>
      <c r="S112">
        <v>1</v>
      </c>
      <c r="T112">
        <v>1</v>
      </c>
      <c r="U112">
        <v>0</v>
      </c>
      <c r="V112">
        <v>0</v>
      </c>
      <c r="W112">
        <v>-90</v>
      </c>
      <c r="X112">
        <v>-180</v>
      </c>
      <c r="Y112">
        <v>0</v>
      </c>
      <c r="Z112">
        <v>0</v>
      </c>
      <c r="AA112">
        <v>0</v>
      </c>
      <c r="AB112">
        <v>0</v>
      </c>
    </row>
    <row r="113" spans="1:28" ht="13.95" customHeight="1" x14ac:dyDescent="0.3">
      <c r="A113" t="s">
        <v>456</v>
      </c>
      <c r="B113" s="13">
        <v>43071.64947916667</v>
      </c>
      <c r="C113" t="s">
        <v>107</v>
      </c>
      <c r="D113">
        <v>395</v>
      </c>
      <c r="E113" t="s">
        <v>457</v>
      </c>
      <c r="F113">
        <v>52.638435521032498</v>
      </c>
      <c r="G113">
        <v>4.7497311085302201</v>
      </c>
      <c r="H113">
        <v>0</v>
      </c>
      <c r="I113">
        <v>1.7</v>
      </c>
      <c r="J113">
        <v>52.638070740584702</v>
      </c>
      <c r="K113">
        <v>4.7500100582843698</v>
      </c>
      <c r="L113">
        <v>41</v>
      </c>
      <c r="M113">
        <v>2.1</v>
      </c>
      <c r="N113">
        <v>0</v>
      </c>
      <c r="O113">
        <v>3.72</v>
      </c>
      <c r="P113">
        <v>-8</v>
      </c>
      <c r="Q113">
        <v>225</v>
      </c>
      <c r="R113">
        <v>0</v>
      </c>
      <c r="S113">
        <v>3</v>
      </c>
      <c r="T113">
        <v>1</v>
      </c>
      <c r="U113">
        <v>0</v>
      </c>
      <c r="V113">
        <v>0</v>
      </c>
      <c r="W113">
        <v>-90</v>
      </c>
      <c r="X113">
        <v>-180</v>
      </c>
      <c r="Y113">
        <v>0</v>
      </c>
      <c r="Z113">
        <v>0</v>
      </c>
      <c r="AA113">
        <v>0</v>
      </c>
      <c r="AB113">
        <v>0</v>
      </c>
    </row>
    <row r="114" spans="1:28" ht="13.95" customHeight="1" x14ac:dyDescent="0.3">
      <c r="A114" t="s">
        <v>458</v>
      </c>
      <c r="B114" s="13">
        <v>43071.650381944448</v>
      </c>
      <c r="C114" t="s">
        <v>233</v>
      </c>
      <c r="D114">
        <v>3</v>
      </c>
      <c r="E114" t="s">
        <v>459</v>
      </c>
      <c r="F114">
        <v>52.638381876849003</v>
      </c>
      <c r="G114">
        <v>4.7497525662035898</v>
      </c>
      <c r="H114">
        <v>0</v>
      </c>
      <c r="I114">
        <v>1.1000000000000001</v>
      </c>
      <c r="J114">
        <v>52.638403334522401</v>
      </c>
      <c r="K114">
        <v>4.7497096508567997</v>
      </c>
      <c r="L114">
        <v>4</v>
      </c>
      <c r="M114">
        <v>0.9</v>
      </c>
      <c r="N114">
        <v>0</v>
      </c>
      <c r="O114">
        <v>4.24</v>
      </c>
      <c r="P114">
        <v>-8</v>
      </c>
      <c r="Q114">
        <v>225</v>
      </c>
      <c r="R114">
        <v>0</v>
      </c>
      <c r="S114">
        <v>8</v>
      </c>
      <c r="T114">
        <v>1</v>
      </c>
      <c r="U114">
        <v>0</v>
      </c>
      <c r="V114">
        <v>0</v>
      </c>
      <c r="W114">
        <v>-90</v>
      </c>
      <c r="X114">
        <v>-180</v>
      </c>
      <c r="Y114">
        <v>0</v>
      </c>
      <c r="Z114">
        <v>0</v>
      </c>
      <c r="AA114">
        <v>0</v>
      </c>
      <c r="AB114">
        <v>0</v>
      </c>
    </row>
    <row r="115" spans="1:28" ht="13.95" customHeight="1" x14ac:dyDescent="0.3">
      <c r="A115" t="s">
        <v>460</v>
      </c>
      <c r="B115" s="13">
        <v>43071.650601851848</v>
      </c>
      <c r="C115" t="s">
        <v>65</v>
      </c>
      <c r="D115">
        <v>357</v>
      </c>
      <c r="E115" t="s">
        <v>461</v>
      </c>
      <c r="F115" s="37">
        <v>-5.36441834242396E-6</v>
      </c>
      <c r="G115" s="37">
        <v>-1.07288366848479E-5</v>
      </c>
      <c r="H115">
        <v>678</v>
      </c>
      <c r="I115">
        <v>20.2</v>
      </c>
      <c r="J115" s="37">
        <v>-5.36441834242396E-6</v>
      </c>
      <c r="K115" s="37">
        <v>-1.07288366848479E-5</v>
      </c>
      <c r="L115">
        <v>678</v>
      </c>
      <c r="M115">
        <v>20.2</v>
      </c>
      <c r="N115">
        <v>0</v>
      </c>
      <c r="O115">
        <v>4.12</v>
      </c>
      <c r="P115">
        <v>-7</v>
      </c>
      <c r="Q115">
        <v>225</v>
      </c>
      <c r="R115">
        <v>0</v>
      </c>
      <c r="S115">
        <v>5</v>
      </c>
      <c r="T115">
        <v>1</v>
      </c>
      <c r="U115">
        <v>0</v>
      </c>
      <c r="V115">
        <v>0</v>
      </c>
      <c r="W115">
        <v>-90</v>
      </c>
      <c r="X115">
        <v>-180</v>
      </c>
      <c r="Y115">
        <v>0</v>
      </c>
      <c r="Z115">
        <v>0</v>
      </c>
      <c r="AA115">
        <v>0</v>
      </c>
      <c r="AB115">
        <v>0</v>
      </c>
    </row>
    <row r="116" spans="1:28" ht="13.95" customHeight="1" x14ac:dyDescent="0.3">
      <c r="A116" t="s">
        <v>462</v>
      </c>
      <c r="B116" s="13">
        <v>43071.652187500003</v>
      </c>
      <c r="C116" t="s">
        <v>106</v>
      </c>
      <c r="D116">
        <v>31</v>
      </c>
      <c r="E116" t="s">
        <v>463</v>
      </c>
      <c r="F116">
        <v>52.638456978705896</v>
      </c>
      <c r="G116">
        <v>4.7496238201632002</v>
      </c>
      <c r="H116">
        <v>7</v>
      </c>
      <c r="I116">
        <v>1.3</v>
      </c>
      <c r="J116">
        <v>52.638456978705896</v>
      </c>
      <c r="K116">
        <v>4.74966673551</v>
      </c>
      <c r="L116">
        <v>0</v>
      </c>
      <c r="M116">
        <v>1.2</v>
      </c>
      <c r="N116">
        <v>1.1000000000000001</v>
      </c>
      <c r="O116">
        <v>4.0599999999999996</v>
      </c>
      <c r="P116">
        <v>59</v>
      </c>
      <c r="Q116">
        <v>225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-90</v>
      </c>
      <c r="X116">
        <v>-180</v>
      </c>
      <c r="Y116">
        <v>0</v>
      </c>
      <c r="Z116">
        <v>0</v>
      </c>
      <c r="AA116">
        <v>0</v>
      </c>
      <c r="AB116">
        <v>0</v>
      </c>
    </row>
    <row r="117" spans="1:28" ht="13.95" customHeight="1" x14ac:dyDescent="0.3">
      <c r="A117" t="s">
        <v>464</v>
      </c>
      <c r="B117" s="13">
        <v>43071.652268518519</v>
      </c>
      <c r="C117" t="s">
        <v>107</v>
      </c>
      <c r="D117">
        <v>396</v>
      </c>
      <c r="E117" t="s">
        <v>465</v>
      </c>
      <c r="F117">
        <v>52.638467707542603</v>
      </c>
      <c r="G117">
        <v>4.7496881931834301</v>
      </c>
      <c r="H117">
        <v>0</v>
      </c>
      <c r="I117">
        <v>1.7</v>
      </c>
      <c r="J117">
        <v>52.638435521032498</v>
      </c>
      <c r="K117">
        <v>4.7497311085302201</v>
      </c>
      <c r="L117">
        <v>0</v>
      </c>
      <c r="M117">
        <v>1.7</v>
      </c>
      <c r="N117">
        <v>0</v>
      </c>
      <c r="O117">
        <v>3.78</v>
      </c>
      <c r="P117">
        <v>-7</v>
      </c>
      <c r="Q117">
        <v>225</v>
      </c>
      <c r="R117">
        <v>0</v>
      </c>
      <c r="S117">
        <v>3</v>
      </c>
      <c r="T117">
        <v>1</v>
      </c>
      <c r="U117">
        <v>0</v>
      </c>
      <c r="V117">
        <v>0</v>
      </c>
      <c r="W117">
        <v>-90</v>
      </c>
      <c r="X117">
        <v>-180</v>
      </c>
      <c r="Y117">
        <v>0</v>
      </c>
      <c r="Z117">
        <v>0</v>
      </c>
      <c r="AA117">
        <v>0</v>
      </c>
      <c r="AB117">
        <v>0</v>
      </c>
    </row>
    <row r="118" spans="1:28" ht="13.95" customHeight="1" x14ac:dyDescent="0.3">
      <c r="A118" t="s">
        <v>466</v>
      </c>
      <c r="B118" s="13">
        <v>43071.653483796297</v>
      </c>
      <c r="C118" t="s">
        <v>65</v>
      </c>
      <c r="D118">
        <v>358</v>
      </c>
      <c r="E118" t="s">
        <v>467</v>
      </c>
      <c r="F118" s="37">
        <v>-5.36441834242396E-6</v>
      </c>
      <c r="G118" s="37">
        <v>-1.07288366848479E-5</v>
      </c>
      <c r="H118">
        <v>678</v>
      </c>
      <c r="I118">
        <v>20.2</v>
      </c>
      <c r="J118" s="37">
        <v>-5.36441834242396E-6</v>
      </c>
      <c r="K118" s="37">
        <v>-1.07288366848479E-5</v>
      </c>
      <c r="L118">
        <v>678</v>
      </c>
      <c r="M118">
        <v>20.2</v>
      </c>
      <c r="N118">
        <v>0</v>
      </c>
      <c r="O118">
        <v>4.12</v>
      </c>
      <c r="P118">
        <v>-7</v>
      </c>
      <c r="Q118">
        <v>225</v>
      </c>
      <c r="R118">
        <v>0</v>
      </c>
      <c r="S118">
        <v>5</v>
      </c>
      <c r="T118">
        <v>1</v>
      </c>
      <c r="U118">
        <v>0</v>
      </c>
      <c r="V118">
        <v>0</v>
      </c>
      <c r="W118">
        <v>-90</v>
      </c>
      <c r="X118">
        <v>-180</v>
      </c>
      <c r="Y118">
        <v>0</v>
      </c>
      <c r="Z118">
        <v>0</v>
      </c>
      <c r="AA118">
        <v>0</v>
      </c>
      <c r="AB118">
        <v>0</v>
      </c>
    </row>
    <row r="119" spans="1:28" ht="13.95" customHeight="1" x14ac:dyDescent="0.3">
      <c r="A119" t="s">
        <v>468</v>
      </c>
      <c r="B119" s="13">
        <v>43071.654976851853</v>
      </c>
      <c r="C119" t="s">
        <v>106</v>
      </c>
      <c r="D119">
        <v>32</v>
      </c>
      <c r="E119" t="s">
        <v>469</v>
      </c>
      <c r="F119">
        <v>52.638349690338899</v>
      </c>
      <c r="G119">
        <v>4.7497525662035898</v>
      </c>
      <c r="H119">
        <v>4</v>
      </c>
      <c r="I119">
        <v>1.2</v>
      </c>
      <c r="J119">
        <v>52.638456978705896</v>
      </c>
      <c r="K119">
        <v>4.7496238201632002</v>
      </c>
      <c r="L119">
        <v>7</v>
      </c>
      <c r="M119">
        <v>1.3</v>
      </c>
      <c r="N119">
        <v>1.1000000000000001</v>
      </c>
      <c r="O119">
        <v>4.0599999999999996</v>
      </c>
      <c r="P119">
        <v>-9</v>
      </c>
      <c r="Q119">
        <v>225</v>
      </c>
      <c r="R119">
        <v>0</v>
      </c>
      <c r="S119">
        <v>1</v>
      </c>
      <c r="T119">
        <v>1</v>
      </c>
      <c r="U119">
        <v>0</v>
      </c>
      <c r="V119">
        <v>0</v>
      </c>
      <c r="W119">
        <v>-90</v>
      </c>
      <c r="X119">
        <v>-180</v>
      </c>
      <c r="Y119">
        <v>0</v>
      </c>
      <c r="Z119">
        <v>0</v>
      </c>
      <c r="AA119">
        <v>0</v>
      </c>
      <c r="AB119">
        <v>0</v>
      </c>
    </row>
    <row r="120" spans="1:28" ht="13.95" customHeight="1" x14ac:dyDescent="0.3">
      <c r="A120" t="s">
        <v>471</v>
      </c>
      <c r="B120" s="13">
        <v>43071.655057870368</v>
      </c>
      <c r="C120" t="s">
        <v>107</v>
      </c>
      <c r="D120">
        <v>397</v>
      </c>
      <c r="E120" t="s">
        <v>470</v>
      </c>
      <c r="F120">
        <v>52.638403334522401</v>
      </c>
      <c r="G120">
        <v>4.7497096508567997</v>
      </c>
      <c r="H120">
        <v>0</v>
      </c>
      <c r="I120">
        <v>1.7</v>
      </c>
      <c r="J120">
        <v>52.638467707542603</v>
      </c>
      <c r="K120">
        <v>4.7496881931834301</v>
      </c>
      <c r="L120">
        <v>0</v>
      </c>
      <c r="M120">
        <v>1.7</v>
      </c>
      <c r="N120">
        <v>0</v>
      </c>
      <c r="O120">
        <v>3.76</v>
      </c>
      <c r="P120">
        <v>-8</v>
      </c>
      <c r="Q120">
        <v>225</v>
      </c>
      <c r="R120">
        <v>0</v>
      </c>
      <c r="S120">
        <v>3</v>
      </c>
      <c r="T120">
        <v>1</v>
      </c>
      <c r="U120">
        <v>0</v>
      </c>
      <c r="V120">
        <v>0</v>
      </c>
      <c r="W120">
        <v>-90</v>
      </c>
      <c r="X120">
        <v>-180</v>
      </c>
      <c r="Y120">
        <v>0</v>
      </c>
      <c r="Z120">
        <v>0</v>
      </c>
      <c r="AA120">
        <v>0</v>
      </c>
      <c r="AB120">
        <v>0</v>
      </c>
    </row>
    <row r="121" spans="1:28" ht="13.95" customHeight="1" x14ac:dyDescent="0.3">
      <c r="A121" t="s">
        <v>472</v>
      </c>
      <c r="B121" s="13">
        <v>43071.655960648146</v>
      </c>
      <c r="C121" t="s">
        <v>233</v>
      </c>
      <c r="D121">
        <v>5</v>
      </c>
      <c r="E121" t="s">
        <v>473</v>
      </c>
      <c r="F121">
        <v>52.638403334522401</v>
      </c>
      <c r="G121">
        <v>4.7496881931834301</v>
      </c>
      <c r="H121">
        <v>0</v>
      </c>
      <c r="I121">
        <v>0.8</v>
      </c>
      <c r="J121">
        <v>52.638328232665501</v>
      </c>
      <c r="K121">
        <v>4.7497740238770199</v>
      </c>
      <c r="L121">
        <v>5</v>
      </c>
      <c r="M121">
        <v>1.4</v>
      </c>
      <c r="N121">
        <v>0</v>
      </c>
      <c r="O121">
        <v>4.26</v>
      </c>
      <c r="P121">
        <v>-7</v>
      </c>
      <c r="Q121">
        <v>225</v>
      </c>
      <c r="R121">
        <v>0</v>
      </c>
      <c r="S121">
        <v>8</v>
      </c>
      <c r="T121">
        <v>1</v>
      </c>
      <c r="U121">
        <v>0</v>
      </c>
      <c r="V121">
        <v>0</v>
      </c>
      <c r="W121">
        <v>-90</v>
      </c>
      <c r="X121">
        <v>-180</v>
      </c>
      <c r="Y121">
        <v>0</v>
      </c>
      <c r="Z121">
        <v>0</v>
      </c>
      <c r="AA121">
        <v>0</v>
      </c>
      <c r="AB121">
        <v>0</v>
      </c>
    </row>
    <row r="122" spans="1:28" ht="13.95" customHeight="1" x14ac:dyDescent="0.3">
      <c r="A122" t="s">
        <v>474</v>
      </c>
      <c r="B122" s="13">
        <v>43071.656365740739</v>
      </c>
      <c r="C122" t="s">
        <v>65</v>
      </c>
      <c r="D122">
        <v>359</v>
      </c>
      <c r="E122" t="s">
        <v>475</v>
      </c>
      <c r="F122" s="37">
        <v>-5.36441834242396E-6</v>
      </c>
      <c r="G122" s="37">
        <v>-1.07288366848479E-5</v>
      </c>
      <c r="H122">
        <v>678</v>
      </c>
      <c r="I122">
        <v>20.2</v>
      </c>
      <c r="J122" s="37">
        <v>-5.36441834242396E-6</v>
      </c>
      <c r="K122" s="37">
        <v>-1.07288366848479E-5</v>
      </c>
      <c r="L122">
        <v>678</v>
      </c>
      <c r="M122">
        <v>20.2</v>
      </c>
      <c r="N122">
        <v>0</v>
      </c>
      <c r="O122">
        <v>4.12</v>
      </c>
      <c r="P122">
        <v>-7</v>
      </c>
      <c r="Q122">
        <v>225</v>
      </c>
      <c r="R122">
        <v>0</v>
      </c>
      <c r="S122">
        <v>5</v>
      </c>
      <c r="T122">
        <v>1</v>
      </c>
      <c r="U122">
        <v>0</v>
      </c>
      <c r="V122">
        <v>0</v>
      </c>
      <c r="W122">
        <v>-90</v>
      </c>
      <c r="X122">
        <v>-180</v>
      </c>
      <c r="Y122">
        <v>0</v>
      </c>
      <c r="Z122">
        <v>0</v>
      </c>
      <c r="AA122">
        <v>0</v>
      </c>
      <c r="AB122">
        <v>0</v>
      </c>
    </row>
    <row r="123" spans="1:28" ht="13.95" customHeight="1" x14ac:dyDescent="0.3">
      <c r="A123" t="s">
        <v>479</v>
      </c>
      <c r="B123" s="13">
        <v>43071.657766203702</v>
      </c>
      <c r="C123" t="s">
        <v>106</v>
      </c>
      <c r="D123">
        <v>33</v>
      </c>
      <c r="E123" t="s">
        <v>476</v>
      </c>
      <c r="F123">
        <v>52.638532080562797</v>
      </c>
      <c r="G123">
        <v>4.74943070110265</v>
      </c>
      <c r="H123">
        <v>17</v>
      </c>
      <c r="I123">
        <v>1.3</v>
      </c>
      <c r="J123">
        <v>52.638349690338899</v>
      </c>
      <c r="K123">
        <v>4.7497525662035898</v>
      </c>
      <c r="L123">
        <v>4</v>
      </c>
      <c r="M123">
        <v>1.2</v>
      </c>
      <c r="N123">
        <v>1.1000000000000001</v>
      </c>
      <c r="O123">
        <v>4.0599999999999996</v>
      </c>
      <c r="P123">
        <v>-9</v>
      </c>
      <c r="Q123">
        <v>225</v>
      </c>
      <c r="R123">
        <v>0</v>
      </c>
      <c r="S123">
        <v>1</v>
      </c>
      <c r="T123">
        <v>1</v>
      </c>
      <c r="U123">
        <v>0</v>
      </c>
      <c r="V123">
        <v>0</v>
      </c>
      <c r="W123">
        <v>-90</v>
      </c>
      <c r="X123">
        <v>-180</v>
      </c>
      <c r="Y123">
        <v>0</v>
      </c>
      <c r="Z123">
        <v>0</v>
      </c>
      <c r="AA123">
        <v>0</v>
      </c>
      <c r="AB123">
        <v>0</v>
      </c>
    </row>
    <row r="124" spans="1:28" ht="13.95" customHeight="1" x14ac:dyDescent="0.3">
      <c r="A124" t="s">
        <v>480</v>
      </c>
      <c r="B124" s="13">
        <v>43071.658750000002</v>
      </c>
      <c r="C124" t="s">
        <v>233</v>
      </c>
      <c r="D124">
        <v>6</v>
      </c>
      <c r="E124" t="s">
        <v>481</v>
      </c>
      <c r="F124">
        <v>52.638371148012297</v>
      </c>
      <c r="G124">
        <v>4.7497525662035898</v>
      </c>
      <c r="H124">
        <v>0</v>
      </c>
      <c r="I124">
        <v>0.8</v>
      </c>
      <c r="J124">
        <v>52.638403334522401</v>
      </c>
      <c r="K124">
        <v>4.7496881931834301</v>
      </c>
      <c r="L124">
        <v>0</v>
      </c>
      <c r="M124">
        <v>0.8</v>
      </c>
      <c r="N124">
        <v>0</v>
      </c>
      <c r="O124">
        <v>4.1399999999999997</v>
      </c>
      <c r="P124">
        <v>-8</v>
      </c>
      <c r="Q124">
        <v>225</v>
      </c>
      <c r="R124">
        <v>0</v>
      </c>
      <c r="S124">
        <v>8</v>
      </c>
      <c r="T124">
        <v>1</v>
      </c>
      <c r="U124">
        <v>0</v>
      </c>
      <c r="V124">
        <v>0</v>
      </c>
      <c r="W124">
        <v>-90</v>
      </c>
      <c r="X124">
        <v>-180</v>
      </c>
      <c r="Y124">
        <v>0</v>
      </c>
      <c r="Z124">
        <v>0</v>
      </c>
      <c r="AA124">
        <v>0</v>
      </c>
      <c r="AB124">
        <v>0</v>
      </c>
    </row>
    <row r="125" spans="1:28" ht="13.95" customHeight="1" x14ac:dyDescent="0.3">
      <c r="A125" t="s">
        <v>482</v>
      </c>
      <c r="B125" s="13">
        <v>43071.659236111111</v>
      </c>
      <c r="C125" t="s">
        <v>65</v>
      </c>
      <c r="D125">
        <v>360</v>
      </c>
      <c r="E125" t="s">
        <v>483</v>
      </c>
      <c r="F125" s="37">
        <v>-5.36441834242396E-6</v>
      </c>
      <c r="G125" s="37">
        <v>-1.07288366848479E-5</v>
      </c>
      <c r="H125">
        <v>678</v>
      </c>
      <c r="I125">
        <v>20.2</v>
      </c>
      <c r="J125" s="37">
        <v>-5.36441834242396E-6</v>
      </c>
      <c r="K125" s="37">
        <v>-1.07288366848479E-5</v>
      </c>
      <c r="L125">
        <v>678</v>
      </c>
      <c r="M125">
        <v>20.2</v>
      </c>
      <c r="N125">
        <v>0</v>
      </c>
      <c r="O125">
        <v>4.12</v>
      </c>
      <c r="P125">
        <v>-7</v>
      </c>
      <c r="Q125">
        <v>225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-90</v>
      </c>
      <c r="X125">
        <v>-180</v>
      </c>
      <c r="Y125">
        <v>0</v>
      </c>
      <c r="Z125">
        <v>0</v>
      </c>
      <c r="AA125">
        <v>0</v>
      </c>
      <c r="AB125">
        <v>0</v>
      </c>
    </row>
    <row r="126" spans="1:28" ht="13.95" customHeight="1" x14ac:dyDescent="0.3">
      <c r="A126" s="14" t="s">
        <v>484</v>
      </c>
      <c r="B126" s="13">
        <v>43071.660555555558</v>
      </c>
      <c r="C126" t="s">
        <v>106</v>
      </c>
      <c r="D126">
        <v>34</v>
      </c>
      <c r="E126" t="s">
        <v>485</v>
      </c>
      <c r="F126">
        <v>52.638435521032498</v>
      </c>
      <c r="G126">
        <v>4.7496452778366303</v>
      </c>
      <c r="H126">
        <v>0</v>
      </c>
      <c r="I126">
        <v>1.2</v>
      </c>
      <c r="J126">
        <v>52.638532080562797</v>
      </c>
      <c r="K126">
        <v>4.74943070110265</v>
      </c>
      <c r="L126">
        <v>17</v>
      </c>
      <c r="M126">
        <v>1.3</v>
      </c>
      <c r="N126">
        <v>1.1000000000000001</v>
      </c>
      <c r="O126">
        <v>4.16</v>
      </c>
      <c r="P126">
        <v>-9</v>
      </c>
      <c r="Q126">
        <v>225</v>
      </c>
      <c r="R126">
        <v>0</v>
      </c>
      <c r="S126">
        <v>1</v>
      </c>
      <c r="T126">
        <v>1</v>
      </c>
      <c r="U126">
        <v>0</v>
      </c>
      <c r="V126">
        <v>0</v>
      </c>
      <c r="W126">
        <v>-90</v>
      </c>
      <c r="X126">
        <v>-180</v>
      </c>
      <c r="Y126">
        <v>0</v>
      </c>
      <c r="Z126">
        <v>0</v>
      </c>
      <c r="AA126">
        <v>0</v>
      </c>
      <c r="AB126">
        <v>0</v>
      </c>
    </row>
  </sheetData>
  <autoFilter ref="A1:L439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L25" sqref="L25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18</v>
      </c>
      <c r="R2" s="18" t="s">
        <v>9</v>
      </c>
      <c r="S2" s="30"/>
      <c r="T2" s="30"/>
      <c r="U2" s="19" t="s">
        <v>12</v>
      </c>
      <c r="V2" s="19" t="s">
        <v>13</v>
      </c>
      <c r="W2" s="20" t="s">
        <v>14</v>
      </c>
      <c r="X2" s="21" t="s">
        <v>15</v>
      </c>
      <c r="Y2" s="9" t="s">
        <v>16</v>
      </c>
      <c r="Z2" s="24" t="s">
        <v>17</v>
      </c>
      <c r="AA2" s="24"/>
      <c r="AB2" s="11" t="s">
        <v>23</v>
      </c>
      <c r="AC2" s="11"/>
      <c r="AD2" s="25" t="s">
        <v>22</v>
      </c>
      <c r="AE2" t="s">
        <v>34</v>
      </c>
      <c r="AF2" t="s">
        <v>24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25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25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25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25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25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25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25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25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29</v>
      </c>
      <c r="AF11" t="s">
        <v>25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33</v>
      </c>
      <c r="AF12" t="s">
        <v>25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30</v>
      </c>
      <c r="AF13" t="s">
        <v>25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25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26</v>
      </c>
      <c r="AF15" t="s">
        <v>25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25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31</v>
      </c>
      <c r="AF17" t="s">
        <v>25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25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32</v>
      </c>
      <c r="AF19" t="s">
        <v>25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25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27</v>
      </c>
      <c r="AF21" t="s">
        <v>35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27</v>
      </c>
      <c r="AF22" t="s">
        <v>35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39</v>
      </c>
      <c r="AF23" t="s">
        <v>36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39</v>
      </c>
      <c r="AF24" t="s">
        <v>36</v>
      </c>
    </row>
    <row r="25" spans="7:51" x14ac:dyDescent="0.3">
      <c r="G25" t="s">
        <v>19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28</v>
      </c>
      <c r="AF25" t="s">
        <v>37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28</v>
      </c>
      <c r="AF26" t="s">
        <v>37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63</v>
      </c>
      <c r="AF27" t="s">
        <v>46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62</v>
      </c>
      <c r="AF28" t="s">
        <v>46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56</v>
      </c>
      <c r="AF29" t="s">
        <v>45</v>
      </c>
      <c r="AY29" t="s">
        <v>38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61</v>
      </c>
      <c r="AF30" t="s">
        <v>45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40</v>
      </c>
      <c r="AD31" s="27" t="str">
        <f t="shared" si="0"/>
        <v/>
      </c>
      <c r="AE31" t="s">
        <v>57</v>
      </c>
      <c r="AF31" t="s">
        <v>47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41</v>
      </c>
      <c r="AD32" s="27">
        <f t="shared" si="0"/>
        <v>0.62557870370073942</v>
      </c>
      <c r="AE32" t="s">
        <v>54</v>
      </c>
      <c r="AF32" t="s">
        <v>47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40</v>
      </c>
      <c r="AD33" s="27" t="str">
        <f t="shared" si="0"/>
        <v/>
      </c>
      <c r="AE33" t="s">
        <v>56</v>
      </c>
      <c r="AF33" t="s">
        <v>47</v>
      </c>
    </row>
    <row r="34" spans="18:32" x14ac:dyDescent="0.3">
      <c r="R34" s="13">
        <v>42799.11377314815</v>
      </c>
      <c r="S34" t="s">
        <v>7</v>
      </c>
      <c r="T34" t="s">
        <v>42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41</v>
      </c>
      <c r="AD34" s="27">
        <f t="shared" si="0"/>
        <v>0.67269675926218042</v>
      </c>
      <c r="AE34" t="s">
        <v>55</v>
      </c>
      <c r="AF34" t="s">
        <v>47</v>
      </c>
    </row>
    <row r="35" spans="18:32" x14ac:dyDescent="0.3">
      <c r="R35" s="13">
        <v>42799.443969907406</v>
      </c>
      <c r="S35" t="s">
        <v>7</v>
      </c>
      <c r="T35" t="s">
        <v>43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40</v>
      </c>
      <c r="AD35" s="27" t="str">
        <f t="shared" si="0"/>
        <v/>
      </c>
      <c r="AE35" t="s">
        <v>58</v>
      </c>
      <c r="AF35" t="s">
        <v>47</v>
      </c>
    </row>
    <row r="36" spans="18:32" x14ac:dyDescent="0.3">
      <c r="R36" s="13">
        <v>42799.908009259256</v>
      </c>
      <c r="S36" t="s">
        <v>7</v>
      </c>
      <c r="T36" t="s">
        <v>44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41</v>
      </c>
      <c r="AD36" s="27">
        <f t="shared" si="0"/>
        <v>0.46403935184935108</v>
      </c>
      <c r="AE36" t="s">
        <v>54</v>
      </c>
      <c r="AF36" t="s">
        <v>47</v>
      </c>
    </row>
    <row r="37" spans="18:32" x14ac:dyDescent="0.3">
      <c r="R37" s="13">
        <v>42800.403368055559</v>
      </c>
      <c r="S37" t="s">
        <v>7</v>
      </c>
      <c r="T37" t="s">
        <v>48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40</v>
      </c>
      <c r="AD37" s="27" t="str">
        <f t="shared" si="0"/>
        <v/>
      </c>
      <c r="AE37" t="s">
        <v>59</v>
      </c>
    </row>
    <row r="38" spans="18:32" x14ac:dyDescent="0.3">
      <c r="R38" s="13">
        <v>42801.002650462964</v>
      </c>
      <c r="S38" t="s">
        <v>7</v>
      </c>
      <c r="T38" t="s">
        <v>49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41</v>
      </c>
      <c r="AD38" s="27">
        <f t="shared" si="0"/>
        <v>0.59928240740555339</v>
      </c>
      <c r="AE38" t="s">
        <v>53</v>
      </c>
    </row>
    <row r="39" spans="18:32" x14ac:dyDescent="0.3">
      <c r="R39" s="13">
        <v>42802.422662037039</v>
      </c>
      <c r="S39" t="s">
        <v>7</v>
      </c>
      <c r="T39" t="s">
        <v>50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40</v>
      </c>
      <c r="AD39" s="27" t="str">
        <f t="shared" si="0"/>
        <v/>
      </c>
      <c r="AE39" t="s">
        <v>60</v>
      </c>
    </row>
    <row r="40" spans="18:32" x14ac:dyDescent="0.3">
      <c r="R40" s="13">
        <v>42803.075104166666</v>
      </c>
      <c r="S40" t="s">
        <v>7</v>
      </c>
      <c r="T40" t="s">
        <v>51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41</v>
      </c>
      <c r="AD40" s="27">
        <f t="shared" si="0"/>
        <v>0.65244212962716119</v>
      </c>
      <c r="AE40" t="s">
        <v>52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28"/>
  <sheetViews>
    <sheetView workbookViewId="0">
      <selection activeCell="G26" sqref="G26"/>
    </sheetView>
  </sheetViews>
  <sheetFormatPr defaultRowHeight="14.4" x14ac:dyDescent="0.3"/>
  <cols>
    <col min="1" max="1" width="55.77734375" customWidth="1"/>
    <col min="2" max="2" width="2.21875" customWidth="1"/>
    <col min="3" max="3" width="11" bestFit="1" customWidth="1"/>
    <col min="5" max="5" width="18.44140625" customWidth="1"/>
    <col min="6" max="6" width="14.21875" customWidth="1"/>
    <col min="7" max="7" width="11" bestFit="1" customWidth="1"/>
  </cols>
  <sheetData>
    <row r="1" spans="1:7" x14ac:dyDescent="0.3">
      <c r="E1" t="s">
        <v>84</v>
      </c>
    </row>
    <row r="2" spans="1:7" x14ac:dyDescent="0.3">
      <c r="F2" t="s">
        <v>82</v>
      </c>
      <c r="G2">
        <v>52632400</v>
      </c>
    </row>
    <row r="3" spans="1:7" x14ac:dyDescent="0.3">
      <c r="F3" t="s">
        <v>83</v>
      </c>
      <c r="G3">
        <v>4738800</v>
      </c>
    </row>
    <row r="4" spans="1:7" x14ac:dyDescent="0.3">
      <c r="F4" t="s">
        <v>85</v>
      </c>
      <c r="G4">
        <v>678</v>
      </c>
    </row>
    <row r="5" spans="1:7" x14ac:dyDescent="0.3">
      <c r="B5" s="32" t="s">
        <v>87</v>
      </c>
      <c r="C5" t="s">
        <v>103</v>
      </c>
      <c r="F5" t="s">
        <v>86</v>
      </c>
      <c r="G5">
        <v>2345</v>
      </c>
    </row>
    <row r="6" spans="1:7" x14ac:dyDescent="0.3">
      <c r="B6" s="32" t="s">
        <v>87</v>
      </c>
    </row>
    <row r="7" spans="1:7" x14ac:dyDescent="0.3">
      <c r="A7" t="s">
        <v>68</v>
      </c>
      <c r="B7" s="32" t="s">
        <v>87</v>
      </c>
      <c r="C7">
        <v>900000000</v>
      </c>
      <c r="D7" t="s">
        <v>88</v>
      </c>
      <c r="G7" s="33">
        <v>900000000</v>
      </c>
    </row>
    <row r="8" spans="1:7" x14ac:dyDescent="0.3">
      <c r="A8" t="s">
        <v>69</v>
      </c>
      <c r="B8" s="32" t="s">
        <v>87</v>
      </c>
      <c r="C8">
        <v>1800000000</v>
      </c>
      <c r="D8" t="s">
        <v>89</v>
      </c>
      <c r="G8" s="33">
        <v>1800000000</v>
      </c>
    </row>
    <row r="9" spans="1:7" x14ac:dyDescent="0.3">
      <c r="A9" t="s">
        <v>70</v>
      </c>
      <c r="B9" s="32" t="s">
        <v>87</v>
      </c>
      <c r="C9">
        <v>16777215</v>
      </c>
      <c r="D9" t="s">
        <v>90</v>
      </c>
      <c r="G9" s="33">
        <v>16777215</v>
      </c>
    </row>
    <row r="10" spans="1:7" x14ac:dyDescent="0.3">
      <c r="A10" t="s">
        <v>71</v>
      </c>
      <c r="B10" s="32" t="s">
        <v>87</v>
      </c>
      <c r="C10">
        <v>52632400</v>
      </c>
      <c r="D10" t="s">
        <v>91</v>
      </c>
      <c r="G10">
        <f>G2</f>
        <v>52632400</v>
      </c>
    </row>
    <row r="11" spans="1:7" x14ac:dyDescent="0.3">
      <c r="A11" t="s">
        <v>72</v>
      </c>
      <c r="B11" s="32" t="s">
        <v>87</v>
      </c>
      <c r="C11" s="34">
        <v>8879177</v>
      </c>
      <c r="D11" t="s">
        <v>92</v>
      </c>
      <c r="G11">
        <f>(G10+G7)*G9/G8</f>
        <v>8879176.9948699996</v>
      </c>
    </row>
    <row r="12" spans="1:7" x14ac:dyDescent="0.3">
      <c r="A12" t="s">
        <v>73</v>
      </c>
      <c r="B12" s="32" t="s">
        <v>87</v>
      </c>
      <c r="C12">
        <v>8879177</v>
      </c>
      <c r="D12" t="s">
        <v>93</v>
      </c>
      <c r="G12">
        <f>ROUND(G11,0)</f>
        <v>8879177</v>
      </c>
    </row>
    <row r="13" spans="1:7" x14ac:dyDescent="0.3">
      <c r="B13" s="32" t="s">
        <v>87</v>
      </c>
      <c r="G13" s="36" t="str">
        <f>"&amp;h " &amp; DEC2HEX(G12)</f>
        <v>&amp;h 877C49</v>
      </c>
    </row>
    <row r="15" spans="1:7" x14ac:dyDescent="0.3">
      <c r="A15" t="s">
        <v>74</v>
      </c>
      <c r="B15" s="32" t="s">
        <v>87</v>
      </c>
      <c r="C15">
        <v>1800000000</v>
      </c>
      <c r="D15" t="s">
        <v>94</v>
      </c>
      <c r="G15" s="33">
        <v>1800000000</v>
      </c>
    </row>
    <row r="16" spans="1:7" x14ac:dyDescent="0.3">
      <c r="A16" t="s">
        <v>75</v>
      </c>
      <c r="B16" s="32" t="s">
        <v>87</v>
      </c>
      <c r="C16" s="35">
        <v>-694967296</v>
      </c>
      <c r="D16" t="s">
        <v>95</v>
      </c>
      <c r="G16" s="33">
        <v>3600000000</v>
      </c>
    </row>
    <row r="17" spans="1:7" x14ac:dyDescent="0.3">
      <c r="A17" t="s">
        <v>76</v>
      </c>
      <c r="B17" s="32" t="s">
        <v>87</v>
      </c>
      <c r="C17">
        <v>4738800</v>
      </c>
      <c r="D17" t="s">
        <v>96</v>
      </c>
      <c r="G17">
        <f>G3</f>
        <v>4738800</v>
      </c>
    </row>
    <row r="18" spans="1:7" x14ac:dyDescent="0.3">
      <c r="A18" t="s">
        <v>77</v>
      </c>
      <c r="B18" s="32" t="s">
        <v>87</v>
      </c>
      <c r="C18" s="35">
        <v>-43568224</v>
      </c>
      <c r="D18" t="s">
        <v>97</v>
      </c>
      <c r="G18">
        <f>(G17+G15)*G9/G16</f>
        <v>8410691.9073450007</v>
      </c>
    </row>
    <row r="19" spans="1:7" x14ac:dyDescent="0.3">
      <c r="A19" t="s">
        <v>78</v>
      </c>
      <c r="B19" s="32" t="s">
        <v>87</v>
      </c>
      <c r="C19">
        <v>4251399072</v>
      </c>
      <c r="D19" t="s">
        <v>98</v>
      </c>
      <c r="G19">
        <f>ROUND(G18,0)</f>
        <v>8410692</v>
      </c>
    </row>
    <row r="20" spans="1:7" x14ac:dyDescent="0.3">
      <c r="A20" t="s">
        <v>79</v>
      </c>
      <c r="B20" s="32" t="s">
        <v>87</v>
      </c>
      <c r="G20" s="36" t="str">
        <f>"&amp;h " &amp; DEC2HEX(G19)</f>
        <v>&amp;h 805644</v>
      </c>
    </row>
    <row r="21" spans="1:7" x14ac:dyDescent="0.3">
      <c r="B21" s="32" t="s">
        <v>87</v>
      </c>
      <c r="C21">
        <v>678</v>
      </c>
      <c r="D21" t="s">
        <v>99</v>
      </c>
    </row>
    <row r="22" spans="1:7" x14ac:dyDescent="0.3">
      <c r="B22" s="32" t="s">
        <v>87</v>
      </c>
      <c r="C22">
        <v>678</v>
      </c>
      <c r="D22" t="s">
        <v>100</v>
      </c>
      <c r="G22" s="36" t="str">
        <f>"&amp;h " &amp; DEC2HEX(G4)</f>
        <v>&amp;h 2A6</v>
      </c>
    </row>
    <row r="23" spans="1:7" x14ac:dyDescent="0.3">
      <c r="B23" s="32" t="s">
        <v>87</v>
      </c>
    </row>
    <row r="24" spans="1:7" x14ac:dyDescent="0.3">
      <c r="A24" t="s">
        <v>80</v>
      </c>
      <c r="B24" s="32" t="s">
        <v>87</v>
      </c>
      <c r="C24">
        <v>2345</v>
      </c>
      <c r="D24" t="s">
        <v>101</v>
      </c>
    </row>
    <row r="25" spans="1:7" x14ac:dyDescent="0.3">
      <c r="A25" t="s">
        <v>81</v>
      </c>
      <c r="B25" s="32" t="s">
        <v>87</v>
      </c>
      <c r="C25">
        <v>23</v>
      </c>
      <c r="D25" t="s">
        <v>102</v>
      </c>
      <c r="G25" s="36" t="str">
        <f>"&amp;h " &amp; DEC2HEX(G5/100)</f>
        <v>&amp;h 17</v>
      </c>
    </row>
    <row r="27" spans="1:7" x14ac:dyDescent="0.3">
      <c r="A27" s="35" t="s">
        <v>104</v>
      </c>
    </row>
    <row r="28" spans="1:7" x14ac:dyDescent="0.3">
      <c r="A28" t="s">
        <v>105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O52"/>
  <sheetViews>
    <sheetView workbookViewId="0">
      <pane ySplit="1" topLeftCell="A12" activePane="bottomLeft" state="frozen"/>
      <selection pane="bottomLeft" activeCell="N26" sqref="N26"/>
    </sheetView>
  </sheetViews>
  <sheetFormatPr defaultRowHeight="14.4" x14ac:dyDescent="0.3"/>
  <cols>
    <col min="2" max="2" width="18.33203125" bestFit="1" customWidth="1"/>
    <col min="3" max="3" width="20.6640625" bestFit="1" customWidth="1"/>
    <col min="14" max="14" width="16.88671875" style="44" customWidth="1"/>
    <col min="15" max="15" width="17.77734375" style="49" bestFit="1" customWidth="1"/>
  </cols>
  <sheetData>
    <row r="1" spans="1:14" x14ac:dyDescent="0.3">
      <c r="A1" s="16" t="s">
        <v>87</v>
      </c>
      <c r="B1" s="38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110</v>
      </c>
      <c r="I1" s="6" t="s">
        <v>108</v>
      </c>
      <c r="J1" s="6" t="s">
        <v>109</v>
      </c>
      <c r="K1" s="9" t="s">
        <v>16</v>
      </c>
      <c r="L1" s="6" t="s">
        <v>111</v>
      </c>
      <c r="M1" s="10" t="s">
        <v>17</v>
      </c>
      <c r="N1" s="47" t="s">
        <v>217</v>
      </c>
    </row>
    <row r="2" spans="1:14" x14ac:dyDescent="0.3">
      <c r="A2" t="s">
        <v>115</v>
      </c>
      <c r="B2" s="39">
        <v>43033.150069444448</v>
      </c>
      <c r="C2" t="s">
        <v>67</v>
      </c>
      <c r="D2" t="s">
        <v>116</v>
      </c>
      <c r="E2">
        <v>52.632695593398502</v>
      </c>
      <c r="F2">
        <v>4.7380152188548497</v>
      </c>
      <c r="G2">
        <v>0</v>
      </c>
      <c r="H2">
        <v>0.6</v>
      </c>
      <c r="I2">
        <v>-90</v>
      </c>
      <c r="J2">
        <v>-180</v>
      </c>
      <c r="K2">
        <v>0</v>
      </c>
      <c r="L2">
        <v>3.64</v>
      </c>
      <c r="M2">
        <v>-9</v>
      </c>
    </row>
    <row r="3" spans="1:14" x14ac:dyDescent="0.3">
      <c r="A3" t="s">
        <v>117</v>
      </c>
      <c r="B3" s="39">
        <v>43033.152812499997</v>
      </c>
      <c r="C3" t="s">
        <v>107</v>
      </c>
      <c r="D3" t="s">
        <v>118</v>
      </c>
      <c r="E3">
        <v>52.632727779908599</v>
      </c>
      <c r="F3">
        <v>4.7380152188548497</v>
      </c>
      <c r="G3">
        <v>0</v>
      </c>
      <c r="H3">
        <v>0.6</v>
      </c>
      <c r="I3">
        <v>-90</v>
      </c>
      <c r="J3">
        <v>-180</v>
      </c>
      <c r="K3">
        <v>0</v>
      </c>
      <c r="L3">
        <v>3.56</v>
      </c>
      <c r="M3">
        <v>-6</v>
      </c>
    </row>
    <row r="4" spans="1:14" x14ac:dyDescent="0.3">
      <c r="A4" t="s">
        <v>119</v>
      </c>
      <c r="B4" s="39">
        <v>43033.152881944443</v>
      </c>
      <c r="C4" t="s">
        <v>67</v>
      </c>
      <c r="D4" t="s">
        <v>120</v>
      </c>
      <c r="E4">
        <v>52.632695593398502</v>
      </c>
      <c r="F4">
        <v>4.7380152188548497</v>
      </c>
      <c r="G4">
        <v>1</v>
      </c>
      <c r="H4">
        <v>0.6</v>
      </c>
      <c r="I4">
        <v>-90</v>
      </c>
      <c r="J4">
        <v>-180</v>
      </c>
      <c r="K4">
        <v>1.1000000000000001</v>
      </c>
      <c r="L4">
        <v>3.66</v>
      </c>
      <c r="M4">
        <v>-9</v>
      </c>
    </row>
    <row r="5" spans="1:14" x14ac:dyDescent="0.3">
      <c r="A5" t="s">
        <v>121</v>
      </c>
      <c r="B5" s="39">
        <v>43033.153298611112</v>
      </c>
      <c r="C5" t="s">
        <v>66</v>
      </c>
      <c r="D5" t="s">
        <v>122</v>
      </c>
      <c r="E5">
        <v>52.632620491541601</v>
      </c>
      <c r="F5">
        <v>4.73807959187502</v>
      </c>
      <c r="G5">
        <v>0</v>
      </c>
      <c r="H5">
        <v>0.6</v>
      </c>
      <c r="I5">
        <v>-90</v>
      </c>
      <c r="J5">
        <v>-180</v>
      </c>
      <c r="K5">
        <v>0</v>
      </c>
      <c r="L5">
        <v>3.64</v>
      </c>
      <c r="M5">
        <v>-8</v>
      </c>
    </row>
    <row r="6" spans="1:14" x14ac:dyDescent="0.3">
      <c r="A6" t="s">
        <v>123</v>
      </c>
      <c r="B6" s="39">
        <v>43033.155624999999</v>
      </c>
      <c r="C6" t="s">
        <v>107</v>
      </c>
      <c r="D6" t="s">
        <v>124</v>
      </c>
      <c r="E6">
        <v>52.632695593398502</v>
      </c>
      <c r="F6">
        <v>4.7380152188548497</v>
      </c>
      <c r="G6">
        <v>0</v>
      </c>
      <c r="H6">
        <v>1</v>
      </c>
      <c r="I6">
        <v>-90</v>
      </c>
      <c r="J6">
        <v>-180</v>
      </c>
      <c r="K6">
        <v>0</v>
      </c>
      <c r="L6">
        <v>3.46</v>
      </c>
      <c r="M6">
        <v>-7</v>
      </c>
    </row>
    <row r="7" spans="1:14" x14ac:dyDescent="0.3">
      <c r="A7" t="s">
        <v>125</v>
      </c>
      <c r="B7" s="39">
        <v>43033.155694444446</v>
      </c>
      <c r="C7" t="s">
        <v>67</v>
      </c>
      <c r="D7" t="s">
        <v>126</v>
      </c>
      <c r="E7">
        <v>52.632684864561803</v>
      </c>
      <c r="F7">
        <v>4.7379723035080499</v>
      </c>
      <c r="G7">
        <v>0</v>
      </c>
      <c r="H7">
        <v>0.6</v>
      </c>
      <c r="I7">
        <v>-90</v>
      </c>
      <c r="J7">
        <v>-180</v>
      </c>
      <c r="K7">
        <v>0</v>
      </c>
      <c r="L7">
        <v>3.64</v>
      </c>
      <c r="M7">
        <v>-9</v>
      </c>
    </row>
    <row r="8" spans="1:14" x14ac:dyDescent="0.3">
      <c r="A8" t="s">
        <v>127</v>
      </c>
      <c r="B8" s="39">
        <v>43033.156111111108</v>
      </c>
      <c r="C8" t="s">
        <v>66</v>
      </c>
      <c r="D8" t="s">
        <v>128</v>
      </c>
      <c r="E8">
        <v>52.6326312203783</v>
      </c>
      <c r="F8">
        <v>4.7380152188548497</v>
      </c>
      <c r="G8">
        <v>0</v>
      </c>
      <c r="H8">
        <v>0.7</v>
      </c>
      <c r="I8">
        <v>-90</v>
      </c>
      <c r="J8">
        <v>-180</v>
      </c>
      <c r="K8">
        <v>0</v>
      </c>
      <c r="L8">
        <v>3.68</v>
      </c>
      <c r="M8">
        <v>-8</v>
      </c>
    </row>
    <row r="9" spans="1:14" x14ac:dyDescent="0.3">
      <c r="A9" t="s">
        <v>129</v>
      </c>
      <c r="B9" s="39">
        <v>43033.161249999997</v>
      </c>
      <c r="C9" t="s">
        <v>107</v>
      </c>
      <c r="D9" t="s">
        <v>130</v>
      </c>
      <c r="E9">
        <v>52.6327170510719</v>
      </c>
      <c r="F9">
        <v>4.7380152188548497</v>
      </c>
      <c r="G9">
        <v>0</v>
      </c>
      <c r="H9">
        <v>0.6</v>
      </c>
      <c r="I9">
        <v>-90</v>
      </c>
      <c r="J9">
        <v>-180</v>
      </c>
      <c r="K9">
        <v>0</v>
      </c>
      <c r="L9">
        <v>3.54</v>
      </c>
      <c r="M9">
        <v>-7</v>
      </c>
    </row>
    <row r="10" spans="1:14" x14ac:dyDescent="0.3">
      <c r="A10" t="s">
        <v>131</v>
      </c>
      <c r="B10" s="39">
        <v>43033.161319444444</v>
      </c>
      <c r="C10" t="s">
        <v>67</v>
      </c>
      <c r="D10" t="s">
        <v>132</v>
      </c>
      <c r="E10">
        <v>52.632674135725097</v>
      </c>
      <c r="F10">
        <v>4.7380366765282202</v>
      </c>
      <c r="G10">
        <v>0</v>
      </c>
      <c r="H10">
        <v>0.8</v>
      </c>
      <c r="I10">
        <v>-90</v>
      </c>
      <c r="J10">
        <v>-180</v>
      </c>
      <c r="K10">
        <v>1.1000000000000001</v>
      </c>
      <c r="L10">
        <v>3.64</v>
      </c>
      <c r="M10">
        <v>-9</v>
      </c>
    </row>
    <row r="11" spans="1:14" x14ac:dyDescent="0.3">
      <c r="A11" t="s">
        <v>133</v>
      </c>
      <c r="B11" s="39">
        <v>43033.161736111113</v>
      </c>
      <c r="C11" t="s">
        <v>66</v>
      </c>
      <c r="D11" t="s">
        <v>134</v>
      </c>
      <c r="E11">
        <v>52.632566847358099</v>
      </c>
      <c r="F11">
        <v>4.7380152188548497</v>
      </c>
      <c r="G11">
        <v>0</v>
      </c>
      <c r="H11">
        <v>0.6</v>
      </c>
      <c r="I11">
        <v>-90</v>
      </c>
      <c r="J11">
        <v>-180</v>
      </c>
      <c r="K11">
        <v>0</v>
      </c>
      <c r="L11">
        <v>3.72</v>
      </c>
      <c r="M11">
        <v>-9</v>
      </c>
    </row>
    <row r="12" spans="1:14" x14ac:dyDescent="0.3">
      <c r="A12" t="s">
        <v>135</v>
      </c>
      <c r="B12" s="39">
        <v>43033.1640625</v>
      </c>
      <c r="C12" t="s">
        <v>107</v>
      </c>
      <c r="D12" t="s">
        <v>136</v>
      </c>
      <c r="E12">
        <v>52.619016326607202</v>
      </c>
      <c r="F12">
        <v>4.7316637475290104</v>
      </c>
      <c r="G12">
        <v>0</v>
      </c>
      <c r="H12">
        <v>0.6</v>
      </c>
      <c r="I12">
        <v>-90</v>
      </c>
      <c r="J12">
        <v>-180</v>
      </c>
      <c r="K12">
        <v>0</v>
      </c>
      <c r="L12">
        <v>3.54</v>
      </c>
      <c r="M12">
        <v>-7</v>
      </c>
    </row>
    <row r="13" spans="1:14" x14ac:dyDescent="0.3">
      <c r="A13" t="s">
        <v>137</v>
      </c>
      <c r="B13" s="39">
        <v>43033.180937500001</v>
      </c>
      <c r="C13" t="s">
        <v>107</v>
      </c>
      <c r="D13" t="s">
        <v>138</v>
      </c>
      <c r="E13">
        <v>52.338661094824097</v>
      </c>
      <c r="F13">
        <v>4.8772326038618399</v>
      </c>
      <c r="G13">
        <v>0</v>
      </c>
      <c r="H13">
        <v>0.7</v>
      </c>
      <c r="I13">
        <v>-90</v>
      </c>
      <c r="J13">
        <v>-180</v>
      </c>
      <c r="K13">
        <v>0</v>
      </c>
      <c r="L13">
        <v>3.54</v>
      </c>
      <c r="M13">
        <v>-7</v>
      </c>
    </row>
    <row r="14" spans="1:14" x14ac:dyDescent="0.3">
      <c r="A14" t="s">
        <v>139</v>
      </c>
      <c r="B14" s="39">
        <v>43033.181018518517</v>
      </c>
      <c r="C14" t="s">
        <v>67</v>
      </c>
      <c r="D14" t="s">
        <v>140</v>
      </c>
      <c r="E14">
        <v>52.338618179477301</v>
      </c>
      <c r="F14">
        <v>4.8798289823429801</v>
      </c>
      <c r="G14">
        <v>0</v>
      </c>
      <c r="H14">
        <v>0.6</v>
      </c>
      <c r="I14">
        <v>-90</v>
      </c>
      <c r="J14">
        <v>-180</v>
      </c>
      <c r="K14">
        <v>1.1000000000000001</v>
      </c>
      <c r="L14">
        <v>3.64</v>
      </c>
      <c r="M14">
        <v>-9</v>
      </c>
    </row>
    <row r="15" spans="1:14" x14ac:dyDescent="0.3">
      <c r="A15" t="s">
        <v>141</v>
      </c>
      <c r="B15" s="39">
        <v>43033.183831018519</v>
      </c>
      <c r="C15" t="s">
        <v>67</v>
      </c>
      <c r="D15" t="s">
        <v>142</v>
      </c>
      <c r="E15">
        <v>52.350140950092097</v>
      </c>
      <c r="F15">
        <v>4.9648013689995301</v>
      </c>
      <c r="G15">
        <v>0</v>
      </c>
      <c r="H15">
        <v>0.6</v>
      </c>
      <c r="I15">
        <v>-90</v>
      </c>
      <c r="J15">
        <v>-180</v>
      </c>
      <c r="K15">
        <v>0</v>
      </c>
      <c r="L15">
        <v>3.58</v>
      </c>
      <c r="M15">
        <v>-9</v>
      </c>
      <c r="N15" s="46"/>
    </row>
    <row r="16" spans="1:14" x14ac:dyDescent="0.3">
      <c r="A16" t="s">
        <v>143</v>
      </c>
      <c r="B16" s="39">
        <v>43033.217581018522</v>
      </c>
      <c r="C16" t="s">
        <v>67</v>
      </c>
      <c r="D16" t="s">
        <v>144</v>
      </c>
      <c r="E16">
        <v>52.231115235752704</v>
      </c>
      <c r="F16">
        <v>6.1658517221124196</v>
      </c>
      <c r="G16">
        <v>0</v>
      </c>
      <c r="H16">
        <v>0.7</v>
      </c>
      <c r="I16">
        <v>-90</v>
      </c>
      <c r="J16">
        <v>-180</v>
      </c>
      <c r="K16">
        <v>0</v>
      </c>
      <c r="L16">
        <v>3.56</v>
      </c>
      <c r="M16">
        <v>-9</v>
      </c>
      <c r="N16" s="46"/>
    </row>
    <row r="17" spans="1:15" s="40" customFormat="1" x14ac:dyDescent="0.3">
      <c r="A17" s="40" t="s">
        <v>145</v>
      </c>
      <c r="B17" s="41">
        <v>43033.232060185182</v>
      </c>
      <c r="C17" s="40" t="s">
        <v>66</v>
      </c>
      <c r="D17" s="40" t="s">
        <v>146</v>
      </c>
      <c r="E17" s="40">
        <v>52.284641402044301</v>
      </c>
      <c r="F17" s="40">
        <v>6.7465607372856704</v>
      </c>
      <c r="G17" s="40">
        <v>0</v>
      </c>
      <c r="H17" s="40">
        <v>0.6</v>
      </c>
      <c r="I17" s="40">
        <v>-90</v>
      </c>
      <c r="J17" s="40">
        <v>-180</v>
      </c>
      <c r="K17" s="40">
        <v>0</v>
      </c>
      <c r="L17" s="40">
        <v>3.68</v>
      </c>
      <c r="M17" s="40">
        <v>-8</v>
      </c>
      <c r="N17" s="48"/>
      <c r="O17" s="50"/>
    </row>
    <row r="18" spans="1:15" x14ac:dyDescent="0.3">
      <c r="A18" t="s">
        <v>147</v>
      </c>
      <c r="B18" s="39">
        <v>43034.66746527778</v>
      </c>
      <c r="C18" t="s">
        <v>66</v>
      </c>
      <c r="D18" t="s">
        <v>148</v>
      </c>
      <c r="E18">
        <v>52.456023839475101</v>
      </c>
      <c r="F18">
        <v>16.954619702972099</v>
      </c>
      <c r="G18">
        <v>7</v>
      </c>
      <c r="H18">
        <v>0.5</v>
      </c>
      <c r="I18">
        <v>-90</v>
      </c>
      <c r="J18">
        <v>-180</v>
      </c>
      <c r="K18">
        <v>0</v>
      </c>
      <c r="L18" s="45">
        <v>3.54</v>
      </c>
      <c r="M18">
        <v>-7</v>
      </c>
      <c r="N18" s="46"/>
    </row>
    <row r="19" spans="1:15" x14ac:dyDescent="0.3">
      <c r="A19" t="s">
        <v>149</v>
      </c>
      <c r="B19" s="39">
        <v>43034.668333333335</v>
      </c>
      <c r="C19" t="s">
        <v>107</v>
      </c>
      <c r="D19" t="s">
        <v>150</v>
      </c>
      <c r="E19" s="37">
        <v>-5.36441834242396E-6</v>
      </c>
      <c r="F19" s="37">
        <v>-1.07288366848479E-5</v>
      </c>
      <c r="G19">
        <v>67</v>
      </c>
      <c r="H19">
        <v>20.2</v>
      </c>
      <c r="I19">
        <v>-90</v>
      </c>
      <c r="J19">
        <v>-180</v>
      </c>
      <c r="K19">
        <v>0</v>
      </c>
      <c r="L19">
        <v>3.48</v>
      </c>
      <c r="M19">
        <v>-9</v>
      </c>
      <c r="N19" s="46">
        <f t="shared" ref="N19:N20" si="0">B19-B18</f>
        <v>8.6805555474711582E-4</v>
      </c>
    </row>
    <row r="20" spans="1:15" s="35" customFormat="1" x14ac:dyDescent="0.3">
      <c r="A20" s="35" t="s">
        <v>151</v>
      </c>
      <c r="B20" s="42">
        <v>43034.668333333335</v>
      </c>
      <c r="C20" s="35" t="s">
        <v>67</v>
      </c>
      <c r="D20" s="35" t="s">
        <v>152</v>
      </c>
      <c r="E20" s="43">
        <v>-5.36441834242396E-6</v>
      </c>
      <c r="F20" s="43">
        <v>-1.07288366848479E-5</v>
      </c>
      <c r="G20" s="35">
        <v>67</v>
      </c>
      <c r="H20" s="35">
        <v>20.2</v>
      </c>
      <c r="I20" s="35">
        <v>-90</v>
      </c>
      <c r="J20" s="35">
        <v>-180</v>
      </c>
      <c r="K20" s="35">
        <v>1.1000000000000001</v>
      </c>
      <c r="L20" s="35">
        <v>0.04</v>
      </c>
      <c r="M20" s="35">
        <v>59</v>
      </c>
      <c r="N20" s="46">
        <f t="shared" si="0"/>
        <v>0</v>
      </c>
      <c r="O20" s="51"/>
    </row>
    <row r="21" spans="1:15" s="35" customFormat="1" x14ac:dyDescent="0.3">
      <c r="A21" s="35" t="s">
        <v>153</v>
      </c>
      <c r="B21" s="42">
        <v>43034.668541666666</v>
      </c>
      <c r="C21" s="35" t="s">
        <v>67</v>
      </c>
      <c r="D21" s="35" t="s">
        <v>154</v>
      </c>
      <c r="E21" s="35">
        <v>52.4570108924514</v>
      </c>
      <c r="F21" s="35">
        <v>16.955306348520899</v>
      </c>
      <c r="G21" s="35">
        <v>11</v>
      </c>
      <c r="H21" s="35">
        <v>2.6</v>
      </c>
      <c r="I21" s="35">
        <v>-90</v>
      </c>
      <c r="J21" s="35">
        <v>-180</v>
      </c>
      <c r="K21" s="35">
        <v>0</v>
      </c>
      <c r="L21" s="35">
        <v>0.04</v>
      </c>
      <c r="M21" s="35">
        <v>59</v>
      </c>
      <c r="N21" s="46">
        <f>B21-B20</f>
        <v>2.0833333110203966E-4</v>
      </c>
      <c r="O21" s="52" t="s">
        <v>218</v>
      </c>
    </row>
    <row r="22" spans="1:15" x14ac:dyDescent="0.3">
      <c r="A22" t="s">
        <v>155</v>
      </c>
      <c r="B22" s="39">
        <v>43034.669560185182</v>
      </c>
      <c r="C22" t="s">
        <v>66</v>
      </c>
      <c r="D22" t="s">
        <v>156</v>
      </c>
      <c r="E22">
        <v>52.456560281309997</v>
      </c>
      <c r="F22">
        <v>16.9552634331741</v>
      </c>
      <c r="G22">
        <v>7</v>
      </c>
      <c r="H22">
        <v>0.6</v>
      </c>
      <c r="I22">
        <v>-90</v>
      </c>
      <c r="J22">
        <v>-180</v>
      </c>
      <c r="K22">
        <v>1.1000000000000001</v>
      </c>
      <c r="L22">
        <v>3.44</v>
      </c>
      <c r="M22">
        <v>-9</v>
      </c>
      <c r="N22" s="46">
        <f t="shared" ref="N22:N52" si="1">B22-B21</f>
        <v>1.0185185165028088E-3</v>
      </c>
    </row>
    <row r="23" spans="1:15" x14ac:dyDescent="0.3">
      <c r="A23" t="s">
        <v>157</v>
      </c>
      <c r="B23" s="39">
        <v>43034.669768518521</v>
      </c>
      <c r="C23" t="s">
        <v>66</v>
      </c>
      <c r="D23" t="s">
        <v>158</v>
      </c>
      <c r="E23">
        <v>52.456613925493599</v>
      </c>
      <c r="F23">
        <v>16.9552205178273</v>
      </c>
      <c r="G23">
        <v>7</v>
      </c>
      <c r="H23">
        <v>0.6</v>
      </c>
      <c r="I23">
        <v>-90</v>
      </c>
      <c r="J23">
        <v>-180</v>
      </c>
      <c r="K23">
        <v>1.1000000000000001</v>
      </c>
      <c r="L23">
        <v>3.52</v>
      </c>
      <c r="M23">
        <v>60</v>
      </c>
      <c r="N23" s="46">
        <f t="shared" si="1"/>
        <v>2.0833333837799728E-4</v>
      </c>
      <c r="O23" s="53" t="s">
        <v>218</v>
      </c>
    </row>
    <row r="24" spans="1:15" x14ac:dyDescent="0.3">
      <c r="A24" t="s">
        <v>159</v>
      </c>
      <c r="B24" s="39">
        <v>43034.669965277775</v>
      </c>
      <c r="C24" t="s">
        <v>66</v>
      </c>
      <c r="D24" t="s">
        <v>160</v>
      </c>
      <c r="E24">
        <v>52.456581738983402</v>
      </c>
      <c r="F24">
        <v>16.955241975500702</v>
      </c>
      <c r="G24">
        <v>6</v>
      </c>
      <c r="H24">
        <v>0.6</v>
      </c>
      <c r="I24">
        <v>-90</v>
      </c>
      <c r="J24">
        <v>-180</v>
      </c>
      <c r="K24">
        <v>1.1000000000000001</v>
      </c>
      <c r="L24">
        <v>3.48</v>
      </c>
      <c r="M24">
        <v>60</v>
      </c>
      <c r="N24" s="46">
        <f t="shared" si="1"/>
        <v>1.9675925432238728E-4</v>
      </c>
      <c r="O24" s="53" t="s">
        <v>218</v>
      </c>
    </row>
    <row r="25" spans="1:15" x14ac:dyDescent="0.3">
      <c r="A25" t="s">
        <v>161</v>
      </c>
      <c r="B25" s="39">
        <v>43034.670173611114</v>
      </c>
      <c r="C25" t="s">
        <v>66</v>
      </c>
      <c r="D25" t="s">
        <v>162</v>
      </c>
      <c r="E25">
        <v>52.456699756187099</v>
      </c>
      <c r="F25">
        <v>16.955370721541101</v>
      </c>
      <c r="G25">
        <v>6</v>
      </c>
      <c r="H25">
        <v>0.5</v>
      </c>
      <c r="I25">
        <v>-90</v>
      </c>
      <c r="J25">
        <v>-180</v>
      </c>
      <c r="K25">
        <v>1.1000000000000001</v>
      </c>
      <c r="L25">
        <v>3.44</v>
      </c>
      <c r="M25">
        <v>60</v>
      </c>
      <c r="N25" s="46">
        <f t="shared" si="1"/>
        <v>2.0833333837799728E-4</v>
      </c>
      <c r="O25" s="53" t="s">
        <v>218</v>
      </c>
    </row>
    <row r="26" spans="1:15" x14ac:dyDescent="0.3">
      <c r="A26" t="s">
        <v>163</v>
      </c>
      <c r="B26" s="39">
        <v>43034.670381944445</v>
      </c>
      <c r="C26" t="s">
        <v>66</v>
      </c>
      <c r="D26" t="s">
        <v>164</v>
      </c>
      <c r="E26">
        <v>52.456721213860497</v>
      </c>
      <c r="F26">
        <v>16.955284890847501</v>
      </c>
      <c r="G26">
        <v>6</v>
      </c>
      <c r="H26">
        <v>0.5</v>
      </c>
      <c r="I26">
        <v>-90</v>
      </c>
      <c r="J26">
        <v>-180</v>
      </c>
      <c r="K26">
        <v>1.1000000000000001</v>
      </c>
      <c r="L26">
        <v>3.56</v>
      </c>
      <c r="M26">
        <v>60</v>
      </c>
      <c r="N26" s="46">
        <f t="shared" si="1"/>
        <v>2.0833333110203966E-4</v>
      </c>
      <c r="O26" s="53" t="s">
        <v>218</v>
      </c>
    </row>
    <row r="27" spans="1:15" x14ac:dyDescent="0.3">
      <c r="A27" t="s">
        <v>165</v>
      </c>
      <c r="B27" s="39">
        <v>43034.670590277776</v>
      </c>
      <c r="C27" t="s">
        <v>66</v>
      </c>
      <c r="D27" t="s">
        <v>166</v>
      </c>
      <c r="E27">
        <v>52.456721213860497</v>
      </c>
      <c r="F27">
        <v>16.955284890847501</v>
      </c>
      <c r="G27">
        <v>6</v>
      </c>
      <c r="H27">
        <v>0.6</v>
      </c>
      <c r="I27">
        <v>-90</v>
      </c>
      <c r="J27">
        <v>-180</v>
      </c>
      <c r="K27">
        <v>0</v>
      </c>
      <c r="L27">
        <v>3.44</v>
      </c>
      <c r="M27">
        <v>-9</v>
      </c>
      <c r="N27" s="46">
        <f t="shared" si="1"/>
        <v>2.0833333110203966E-4</v>
      </c>
      <c r="O27" s="53" t="s">
        <v>218</v>
      </c>
    </row>
    <row r="28" spans="1:15" x14ac:dyDescent="0.3">
      <c r="A28" t="s">
        <v>167</v>
      </c>
      <c r="B28" s="39">
        <v>43034.670787037037</v>
      </c>
      <c r="C28" t="s">
        <v>66</v>
      </c>
      <c r="D28" t="s">
        <v>168</v>
      </c>
      <c r="E28">
        <v>52.456721213860497</v>
      </c>
      <c r="F28">
        <v>16.9551346871337</v>
      </c>
      <c r="G28">
        <v>6</v>
      </c>
      <c r="H28">
        <v>0.5</v>
      </c>
      <c r="I28">
        <v>-90</v>
      </c>
      <c r="J28">
        <v>-180</v>
      </c>
      <c r="K28">
        <v>0</v>
      </c>
      <c r="L28">
        <v>3.44</v>
      </c>
      <c r="M28">
        <v>-9</v>
      </c>
      <c r="N28" s="46">
        <f t="shared" si="1"/>
        <v>1.9675926159834489E-4</v>
      </c>
      <c r="O28" s="53" t="s">
        <v>218</v>
      </c>
    </row>
    <row r="29" spans="1:15" x14ac:dyDescent="0.3">
      <c r="A29" t="s">
        <v>169</v>
      </c>
      <c r="B29" s="39">
        <v>43034.670995370368</v>
      </c>
      <c r="C29" t="s">
        <v>66</v>
      </c>
      <c r="D29" t="s">
        <v>170</v>
      </c>
      <c r="E29">
        <v>52.456721213860497</v>
      </c>
      <c r="F29">
        <v>16.955113229460299</v>
      </c>
      <c r="G29">
        <v>6</v>
      </c>
      <c r="H29">
        <v>0.6</v>
      </c>
      <c r="I29">
        <v>-90</v>
      </c>
      <c r="J29">
        <v>-180</v>
      </c>
      <c r="K29">
        <v>1.1000000000000001</v>
      </c>
      <c r="L29">
        <v>3.44</v>
      </c>
      <c r="M29">
        <v>60</v>
      </c>
      <c r="N29" s="46">
        <f t="shared" si="1"/>
        <v>2.0833333110203966E-4</v>
      </c>
      <c r="O29" s="53" t="s">
        <v>218</v>
      </c>
    </row>
    <row r="30" spans="1:15" x14ac:dyDescent="0.3">
      <c r="A30" t="s">
        <v>171</v>
      </c>
      <c r="B30" s="39">
        <v>43034.671203703707</v>
      </c>
      <c r="C30" t="s">
        <v>66</v>
      </c>
      <c r="D30" t="s">
        <v>172</v>
      </c>
      <c r="E30">
        <v>52.456721213860497</v>
      </c>
      <c r="F30">
        <v>16.955113229460299</v>
      </c>
      <c r="G30">
        <v>6</v>
      </c>
      <c r="H30">
        <v>0.6</v>
      </c>
      <c r="I30">
        <v>-90</v>
      </c>
      <c r="J30">
        <v>-180</v>
      </c>
      <c r="K30">
        <v>1.1000000000000001</v>
      </c>
      <c r="L30">
        <v>3.54</v>
      </c>
      <c r="M30">
        <v>60</v>
      </c>
      <c r="N30" s="46">
        <f t="shared" si="1"/>
        <v>2.0833333837799728E-4</v>
      </c>
      <c r="O30" s="53" t="s">
        <v>218</v>
      </c>
    </row>
    <row r="31" spans="1:15" x14ac:dyDescent="0.3">
      <c r="A31" t="s">
        <v>173</v>
      </c>
      <c r="B31" s="39">
        <v>43034.671412037038</v>
      </c>
      <c r="C31" t="s">
        <v>66</v>
      </c>
      <c r="D31" t="s">
        <v>174</v>
      </c>
      <c r="E31">
        <v>52.456721213860497</v>
      </c>
      <c r="F31">
        <v>16.955091771786901</v>
      </c>
      <c r="G31">
        <v>6</v>
      </c>
      <c r="H31">
        <v>0.6</v>
      </c>
      <c r="I31">
        <v>-90</v>
      </c>
      <c r="J31">
        <v>-180</v>
      </c>
      <c r="K31">
        <v>1.1000000000000001</v>
      </c>
      <c r="L31">
        <v>3.44</v>
      </c>
      <c r="M31">
        <v>60</v>
      </c>
      <c r="N31" s="46">
        <f t="shared" si="1"/>
        <v>2.0833333110203966E-4</v>
      </c>
      <c r="O31" s="53" t="s">
        <v>218</v>
      </c>
    </row>
    <row r="32" spans="1:15" x14ac:dyDescent="0.3">
      <c r="A32" t="s">
        <v>175</v>
      </c>
      <c r="B32" s="39">
        <v>43034.6716087963</v>
      </c>
      <c r="C32" t="s">
        <v>66</v>
      </c>
      <c r="D32" t="s">
        <v>176</v>
      </c>
      <c r="E32">
        <v>52.456721213860497</v>
      </c>
      <c r="F32">
        <v>16.955091771786901</v>
      </c>
      <c r="G32">
        <v>7</v>
      </c>
      <c r="H32">
        <v>0.7</v>
      </c>
      <c r="I32">
        <v>-90</v>
      </c>
      <c r="J32">
        <v>-180</v>
      </c>
      <c r="K32">
        <v>1.1000000000000001</v>
      </c>
      <c r="L32">
        <v>3.56</v>
      </c>
      <c r="M32">
        <v>60</v>
      </c>
      <c r="N32" s="46">
        <f t="shared" si="1"/>
        <v>1.9675926159834489E-4</v>
      </c>
      <c r="O32" s="53" t="s">
        <v>218</v>
      </c>
    </row>
    <row r="33" spans="1:15" x14ac:dyDescent="0.3">
      <c r="A33" t="s">
        <v>177</v>
      </c>
      <c r="B33" s="39">
        <v>43034.671817129631</v>
      </c>
      <c r="C33" t="s">
        <v>66</v>
      </c>
      <c r="D33" t="s">
        <v>178</v>
      </c>
      <c r="E33">
        <v>52.456721213860497</v>
      </c>
      <c r="F33">
        <v>16.955070314113499</v>
      </c>
      <c r="G33">
        <v>7</v>
      </c>
      <c r="H33">
        <v>0.6</v>
      </c>
      <c r="I33">
        <v>-90</v>
      </c>
      <c r="J33">
        <v>-180</v>
      </c>
      <c r="K33">
        <v>1.1000000000000001</v>
      </c>
      <c r="L33">
        <v>3.44</v>
      </c>
      <c r="M33">
        <v>60</v>
      </c>
      <c r="N33" s="46">
        <f t="shared" si="1"/>
        <v>2.0833333110203966E-4</v>
      </c>
      <c r="O33" s="53" t="s">
        <v>218</v>
      </c>
    </row>
    <row r="34" spans="1:15" x14ac:dyDescent="0.3">
      <c r="A34" t="s">
        <v>179</v>
      </c>
      <c r="B34" s="39">
        <v>43034.672025462962</v>
      </c>
      <c r="C34" t="s">
        <v>66</v>
      </c>
      <c r="D34" t="s">
        <v>180</v>
      </c>
      <c r="E34">
        <v>52.456710485023798</v>
      </c>
      <c r="F34">
        <v>16.955091771786901</v>
      </c>
      <c r="G34">
        <v>6</v>
      </c>
      <c r="H34">
        <v>0.6</v>
      </c>
      <c r="I34">
        <v>-90</v>
      </c>
      <c r="J34">
        <v>-180</v>
      </c>
      <c r="K34">
        <v>1.7</v>
      </c>
      <c r="L34">
        <v>3.44</v>
      </c>
      <c r="M34">
        <v>-9</v>
      </c>
      <c r="N34" s="46">
        <f t="shared" si="1"/>
        <v>2.0833333110203966E-4</v>
      </c>
      <c r="O34" s="53" t="s">
        <v>218</v>
      </c>
    </row>
    <row r="35" spans="1:15" x14ac:dyDescent="0.3">
      <c r="A35" t="s">
        <v>181</v>
      </c>
      <c r="B35" s="39">
        <v>43034.672430555554</v>
      </c>
      <c r="C35" t="s">
        <v>66</v>
      </c>
      <c r="D35" t="s">
        <v>182</v>
      </c>
      <c r="E35">
        <v>52.456699756187099</v>
      </c>
      <c r="F35">
        <v>16.955048856440101</v>
      </c>
      <c r="G35">
        <v>6</v>
      </c>
      <c r="H35">
        <v>0.5</v>
      </c>
      <c r="I35">
        <v>-90</v>
      </c>
      <c r="J35">
        <v>-180</v>
      </c>
      <c r="K35">
        <v>1.1000000000000001</v>
      </c>
      <c r="L35">
        <v>3.44</v>
      </c>
      <c r="M35">
        <v>-9</v>
      </c>
      <c r="N35" s="46">
        <f t="shared" si="1"/>
        <v>4.0509259270038456E-4</v>
      </c>
      <c r="O35" s="53" t="s">
        <v>219</v>
      </c>
    </row>
    <row r="36" spans="1:15" x14ac:dyDescent="0.3">
      <c r="A36" t="s">
        <v>183</v>
      </c>
      <c r="B36" s="39">
        <v>43034.672847222224</v>
      </c>
      <c r="C36" t="s">
        <v>66</v>
      </c>
      <c r="D36" t="s">
        <v>184</v>
      </c>
      <c r="E36">
        <v>52.456678298513701</v>
      </c>
      <c r="F36">
        <v>16.955284890847501</v>
      </c>
      <c r="G36">
        <v>6</v>
      </c>
      <c r="H36">
        <v>0.6</v>
      </c>
      <c r="I36">
        <v>-90</v>
      </c>
      <c r="J36">
        <v>-180</v>
      </c>
      <c r="K36">
        <v>1.1000000000000001</v>
      </c>
      <c r="L36">
        <v>3.54</v>
      </c>
      <c r="M36">
        <v>60</v>
      </c>
      <c r="N36" s="46">
        <f t="shared" si="1"/>
        <v>4.1666666948003694E-4</v>
      </c>
      <c r="O36" s="53" t="s">
        <v>219</v>
      </c>
    </row>
    <row r="37" spans="1:15" x14ac:dyDescent="0.3">
      <c r="A37" t="s">
        <v>185</v>
      </c>
      <c r="B37" s="39">
        <v>43034.673043981478</v>
      </c>
      <c r="C37" t="s">
        <v>66</v>
      </c>
      <c r="D37" t="s">
        <v>186</v>
      </c>
      <c r="E37">
        <v>52.456216958535698</v>
      </c>
      <c r="F37">
        <v>16.954748449012499</v>
      </c>
      <c r="G37">
        <v>6</v>
      </c>
      <c r="H37">
        <v>0.6</v>
      </c>
      <c r="I37">
        <v>-90</v>
      </c>
      <c r="J37">
        <v>-180</v>
      </c>
      <c r="K37">
        <v>1.1000000000000001</v>
      </c>
      <c r="L37">
        <v>3.42</v>
      </c>
      <c r="M37">
        <v>-9</v>
      </c>
      <c r="N37" s="46">
        <f t="shared" si="1"/>
        <v>1.9675925432238728E-4</v>
      </c>
      <c r="O37" s="53" t="s">
        <v>218</v>
      </c>
    </row>
    <row r="38" spans="1:15" x14ac:dyDescent="0.3">
      <c r="A38" t="s">
        <v>187</v>
      </c>
      <c r="B38" s="39">
        <v>43034.673252314817</v>
      </c>
      <c r="C38" t="s">
        <v>66</v>
      </c>
      <c r="D38" t="s">
        <v>188</v>
      </c>
      <c r="E38">
        <v>52.455229905559399</v>
      </c>
      <c r="F38">
        <v>16.953847226729799</v>
      </c>
      <c r="G38">
        <v>6</v>
      </c>
      <c r="H38">
        <v>0.7</v>
      </c>
      <c r="I38">
        <v>-90</v>
      </c>
      <c r="J38">
        <v>-180</v>
      </c>
      <c r="K38">
        <v>0</v>
      </c>
      <c r="L38">
        <v>3.42</v>
      </c>
      <c r="M38">
        <v>-9</v>
      </c>
      <c r="N38" s="46">
        <f t="shared" si="1"/>
        <v>2.0833333837799728E-4</v>
      </c>
      <c r="O38" s="53" t="s">
        <v>218</v>
      </c>
    </row>
    <row r="39" spans="1:15" x14ac:dyDescent="0.3">
      <c r="A39" t="s">
        <v>189</v>
      </c>
      <c r="B39" s="39">
        <v>43034.673460648148</v>
      </c>
      <c r="C39" t="s">
        <v>66</v>
      </c>
      <c r="D39" t="s">
        <v>190</v>
      </c>
      <c r="E39">
        <v>52.454178479562898</v>
      </c>
      <c r="F39">
        <v>16.953246411874598</v>
      </c>
      <c r="G39">
        <v>6</v>
      </c>
      <c r="H39">
        <v>0.6</v>
      </c>
      <c r="I39">
        <v>-90</v>
      </c>
      <c r="J39">
        <v>-180</v>
      </c>
      <c r="K39">
        <v>1.1000000000000001</v>
      </c>
      <c r="L39">
        <v>3.44</v>
      </c>
      <c r="M39">
        <v>-9</v>
      </c>
      <c r="N39" s="46">
        <f t="shared" si="1"/>
        <v>2.0833333110203966E-4</v>
      </c>
      <c r="O39" s="53" t="s">
        <v>218</v>
      </c>
    </row>
    <row r="40" spans="1:15" x14ac:dyDescent="0.3">
      <c r="A40" t="s">
        <v>191</v>
      </c>
      <c r="B40" s="39">
        <v>43034.673668981479</v>
      </c>
      <c r="C40" t="s">
        <v>66</v>
      </c>
      <c r="D40" t="s">
        <v>192</v>
      </c>
      <c r="E40">
        <v>52.454071191195901</v>
      </c>
      <c r="F40">
        <v>16.954705533665699</v>
      </c>
      <c r="G40">
        <v>6</v>
      </c>
      <c r="H40">
        <v>0.5</v>
      </c>
      <c r="I40">
        <v>-90</v>
      </c>
      <c r="J40">
        <v>-180</v>
      </c>
      <c r="K40">
        <v>1.1000000000000001</v>
      </c>
      <c r="L40">
        <v>3.56</v>
      </c>
      <c r="M40">
        <v>60</v>
      </c>
      <c r="N40" s="46">
        <f t="shared" si="1"/>
        <v>2.0833333110203966E-4</v>
      </c>
      <c r="O40" s="53" t="s">
        <v>218</v>
      </c>
    </row>
    <row r="41" spans="1:15" x14ac:dyDescent="0.3">
      <c r="A41" t="s">
        <v>193</v>
      </c>
      <c r="B41" s="39">
        <v>43034.673877314817</v>
      </c>
      <c r="C41" t="s">
        <v>66</v>
      </c>
      <c r="D41" t="s">
        <v>194</v>
      </c>
      <c r="E41">
        <v>52.454039004685796</v>
      </c>
      <c r="F41">
        <v>16.955435094561199</v>
      </c>
      <c r="G41">
        <v>7</v>
      </c>
      <c r="H41">
        <v>0.6</v>
      </c>
      <c r="I41">
        <v>-90</v>
      </c>
      <c r="J41">
        <v>-180</v>
      </c>
      <c r="K41">
        <v>1.1000000000000001</v>
      </c>
      <c r="L41">
        <v>3.42</v>
      </c>
      <c r="M41">
        <v>-9</v>
      </c>
      <c r="N41" s="46">
        <f t="shared" si="1"/>
        <v>2.0833333837799728E-4</v>
      </c>
      <c r="O41" s="53" t="s">
        <v>218</v>
      </c>
    </row>
    <row r="42" spans="1:15" x14ac:dyDescent="0.3">
      <c r="A42" t="s">
        <v>195</v>
      </c>
      <c r="B42" s="39">
        <v>43034.674074074072</v>
      </c>
      <c r="C42" t="s">
        <v>66</v>
      </c>
      <c r="D42" t="s">
        <v>196</v>
      </c>
      <c r="E42">
        <v>52.454028275849097</v>
      </c>
      <c r="F42">
        <v>16.956722554965101</v>
      </c>
      <c r="G42">
        <v>7</v>
      </c>
      <c r="H42">
        <v>0.6</v>
      </c>
      <c r="I42">
        <v>-90</v>
      </c>
      <c r="J42">
        <v>-180</v>
      </c>
      <c r="K42">
        <v>1.1000000000000001</v>
      </c>
      <c r="L42">
        <v>3.56</v>
      </c>
      <c r="M42">
        <v>60</v>
      </c>
      <c r="N42" s="46">
        <f t="shared" si="1"/>
        <v>1.9675925432238728E-4</v>
      </c>
      <c r="O42" s="53" t="s">
        <v>218</v>
      </c>
    </row>
    <row r="43" spans="1:15" x14ac:dyDescent="0.3">
      <c r="A43" t="s">
        <v>197</v>
      </c>
      <c r="B43" s="39">
        <v>43034.674490740741</v>
      </c>
      <c r="C43" t="s">
        <v>66</v>
      </c>
      <c r="D43" t="s">
        <v>198</v>
      </c>
      <c r="E43">
        <v>52.454049733522503</v>
      </c>
      <c r="F43">
        <v>16.955284890847501</v>
      </c>
      <c r="G43">
        <v>7</v>
      </c>
      <c r="H43">
        <v>0.7</v>
      </c>
      <c r="I43">
        <v>-90</v>
      </c>
      <c r="J43">
        <v>-180</v>
      </c>
      <c r="K43">
        <v>0</v>
      </c>
      <c r="L43">
        <v>3.42</v>
      </c>
      <c r="M43">
        <v>-9</v>
      </c>
      <c r="N43" s="46">
        <f t="shared" si="1"/>
        <v>4.1666666948003694E-4</v>
      </c>
      <c r="O43" s="53" t="s">
        <v>219</v>
      </c>
    </row>
    <row r="44" spans="1:15" x14ac:dyDescent="0.3">
      <c r="A44" t="s">
        <v>199</v>
      </c>
      <c r="B44" s="39">
        <v>43034.674699074072</v>
      </c>
      <c r="C44" t="s">
        <v>66</v>
      </c>
      <c r="D44" t="s">
        <v>200</v>
      </c>
      <c r="E44">
        <v>52.454135564216102</v>
      </c>
      <c r="F44">
        <v>16.953396615588399</v>
      </c>
      <c r="G44">
        <v>7</v>
      </c>
      <c r="H44">
        <v>0.5</v>
      </c>
      <c r="I44">
        <v>-90</v>
      </c>
      <c r="J44">
        <v>-180</v>
      </c>
      <c r="K44">
        <v>1.1000000000000001</v>
      </c>
      <c r="L44">
        <v>3.44</v>
      </c>
      <c r="M44">
        <v>-9</v>
      </c>
      <c r="N44" s="46">
        <f t="shared" si="1"/>
        <v>2.0833333110203966E-4</v>
      </c>
      <c r="O44" s="53" t="s">
        <v>218</v>
      </c>
    </row>
    <row r="45" spans="1:15" x14ac:dyDescent="0.3">
      <c r="A45" t="s">
        <v>201</v>
      </c>
      <c r="B45" s="39">
        <v>43034.674895833334</v>
      </c>
      <c r="C45" t="s">
        <v>66</v>
      </c>
      <c r="D45" t="s">
        <v>202</v>
      </c>
      <c r="E45">
        <v>52.453459647503998</v>
      </c>
      <c r="F45">
        <v>16.9528172584067</v>
      </c>
      <c r="G45">
        <v>7</v>
      </c>
      <c r="H45">
        <v>0.5</v>
      </c>
      <c r="I45">
        <v>-90</v>
      </c>
      <c r="J45">
        <v>-180</v>
      </c>
      <c r="K45">
        <v>1.1000000000000001</v>
      </c>
      <c r="L45">
        <v>3.54</v>
      </c>
      <c r="M45">
        <v>60</v>
      </c>
      <c r="N45" s="46">
        <f t="shared" si="1"/>
        <v>1.9675926159834489E-4</v>
      </c>
      <c r="O45" s="53" t="s">
        <v>218</v>
      </c>
    </row>
    <row r="46" spans="1:15" x14ac:dyDescent="0.3">
      <c r="A46" t="s">
        <v>203</v>
      </c>
      <c r="B46" s="39">
        <v>43034.675312500003</v>
      </c>
      <c r="C46" t="s">
        <v>66</v>
      </c>
      <c r="D46" t="s">
        <v>204</v>
      </c>
      <c r="E46">
        <v>52.451657202938598</v>
      </c>
      <c r="F46">
        <v>16.951701459390002</v>
      </c>
      <c r="G46">
        <v>6</v>
      </c>
      <c r="H46">
        <v>0.6</v>
      </c>
      <c r="I46">
        <v>-90</v>
      </c>
      <c r="J46">
        <v>-180</v>
      </c>
      <c r="K46">
        <v>0</v>
      </c>
      <c r="L46">
        <v>3.42</v>
      </c>
      <c r="M46">
        <v>-9</v>
      </c>
      <c r="N46" s="46">
        <f t="shared" si="1"/>
        <v>4.1666666948003694E-4</v>
      </c>
      <c r="O46" s="53" t="s">
        <v>219</v>
      </c>
    </row>
    <row r="47" spans="1:15" x14ac:dyDescent="0.3">
      <c r="A47" t="s">
        <v>205</v>
      </c>
      <c r="B47" s="39">
        <v>43034.677164351851</v>
      </c>
      <c r="C47" t="s">
        <v>66</v>
      </c>
      <c r="D47" t="s">
        <v>206</v>
      </c>
      <c r="E47">
        <v>52.452719357771798</v>
      </c>
      <c r="F47">
        <v>16.9500492185383</v>
      </c>
      <c r="G47">
        <v>8</v>
      </c>
      <c r="H47">
        <v>0.6</v>
      </c>
      <c r="I47">
        <v>-90</v>
      </c>
      <c r="J47">
        <v>-180</v>
      </c>
      <c r="K47">
        <v>1.1000000000000001</v>
      </c>
      <c r="L47">
        <v>3.42</v>
      </c>
      <c r="M47">
        <v>-9</v>
      </c>
      <c r="N47" s="46">
        <f t="shared" si="1"/>
        <v>1.8518518481869251E-3</v>
      </c>
    </row>
    <row r="48" spans="1:15" x14ac:dyDescent="0.3">
      <c r="A48" t="s">
        <v>207</v>
      </c>
      <c r="B48" s="39">
        <v>43034.677361111113</v>
      </c>
      <c r="C48" t="s">
        <v>66</v>
      </c>
      <c r="D48" t="s">
        <v>208</v>
      </c>
      <c r="E48">
        <v>52.452805188465398</v>
      </c>
      <c r="F48">
        <v>16.9507787794339</v>
      </c>
      <c r="G48">
        <v>7</v>
      </c>
      <c r="H48">
        <v>0.7</v>
      </c>
      <c r="I48">
        <v>-90</v>
      </c>
      <c r="J48">
        <v>-180</v>
      </c>
      <c r="K48">
        <v>1.1000000000000001</v>
      </c>
      <c r="L48">
        <v>3.56</v>
      </c>
      <c r="M48">
        <v>60</v>
      </c>
      <c r="N48" s="46">
        <f t="shared" si="1"/>
        <v>1.9675926159834489E-4</v>
      </c>
      <c r="O48" s="53" t="s">
        <v>218</v>
      </c>
    </row>
    <row r="49" spans="1:15" x14ac:dyDescent="0.3">
      <c r="A49" t="s">
        <v>209</v>
      </c>
      <c r="B49" s="39">
        <v>43034.677777777775</v>
      </c>
      <c r="C49" t="s">
        <v>66</v>
      </c>
      <c r="D49" t="s">
        <v>210</v>
      </c>
      <c r="E49">
        <v>52.452837374975502</v>
      </c>
      <c r="F49">
        <v>16.9524524779589</v>
      </c>
      <c r="G49">
        <v>7</v>
      </c>
      <c r="H49">
        <v>0.6</v>
      </c>
      <c r="I49">
        <v>-90</v>
      </c>
      <c r="J49">
        <v>-180</v>
      </c>
      <c r="K49">
        <v>1.1000000000000001</v>
      </c>
      <c r="L49">
        <v>3.42</v>
      </c>
      <c r="M49">
        <v>-9</v>
      </c>
      <c r="N49" s="46">
        <f t="shared" si="1"/>
        <v>4.1666666220407933E-4</v>
      </c>
      <c r="O49" s="53" t="s">
        <v>219</v>
      </c>
    </row>
    <row r="50" spans="1:15" x14ac:dyDescent="0.3">
      <c r="A50" t="s">
        <v>211</v>
      </c>
      <c r="B50" s="39">
        <v>43034.678182870368</v>
      </c>
      <c r="C50" t="s">
        <v>66</v>
      </c>
      <c r="D50" t="s">
        <v>212</v>
      </c>
      <c r="E50">
        <v>52.4543286832766</v>
      </c>
      <c r="F50">
        <v>16.953375157915001</v>
      </c>
      <c r="G50">
        <v>7</v>
      </c>
      <c r="H50">
        <v>0.5</v>
      </c>
      <c r="I50">
        <v>-90</v>
      </c>
      <c r="J50">
        <v>-180</v>
      </c>
      <c r="K50">
        <v>0</v>
      </c>
      <c r="L50">
        <v>3.44</v>
      </c>
      <c r="M50">
        <v>60</v>
      </c>
      <c r="N50" s="46">
        <f t="shared" si="1"/>
        <v>4.0509259270038456E-4</v>
      </c>
      <c r="O50" s="53" t="s">
        <v>219</v>
      </c>
    </row>
    <row r="51" spans="1:15" x14ac:dyDescent="0.3">
      <c r="A51" t="s">
        <v>213</v>
      </c>
      <c r="B51" s="39">
        <v>43034.6794212963</v>
      </c>
      <c r="C51" t="s">
        <v>66</v>
      </c>
      <c r="D51" t="s">
        <v>214</v>
      </c>
      <c r="E51">
        <v>52.454693463724396</v>
      </c>
      <c r="F51">
        <v>16.947924908871901</v>
      </c>
      <c r="G51">
        <v>6</v>
      </c>
      <c r="H51">
        <v>0.5</v>
      </c>
      <c r="I51">
        <v>-90</v>
      </c>
      <c r="J51">
        <v>-180</v>
      </c>
      <c r="K51">
        <v>1.1000000000000001</v>
      </c>
      <c r="L51">
        <v>3.44</v>
      </c>
      <c r="M51">
        <v>-9</v>
      </c>
      <c r="N51" s="46">
        <f t="shared" si="1"/>
        <v>1.2384259316604584E-3</v>
      </c>
    </row>
    <row r="52" spans="1:15" x14ac:dyDescent="0.3">
      <c r="A52" t="s">
        <v>215</v>
      </c>
      <c r="B52" s="39">
        <v>43034.679629629631</v>
      </c>
      <c r="C52" t="s">
        <v>66</v>
      </c>
      <c r="D52" t="s">
        <v>216</v>
      </c>
      <c r="E52">
        <v>52.454693463724396</v>
      </c>
      <c r="F52">
        <v>16.947881993525101</v>
      </c>
      <c r="G52">
        <v>6</v>
      </c>
      <c r="H52">
        <v>0.6</v>
      </c>
      <c r="I52">
        <v>-90</v>
      </c>
      <c r="J52">
        <v>-180</v>
      </c>
      <c r="K52">
        <v>1.1000000000000001</v>
      </c>
      <c r="L52">
        <v>3.44</v>
      </c>
      <c r="M52">
        <v>-9</v>
      </c>
      <c r="N52" s="46">
        <f t="shared" si="1"/>
        <v>2.0833333110203966E-4</v>
      </c>
      <c r="O52" s="53" t="s">
        <v>218</v>
      </c>
    </row>
  </sheetData>
  <conditionalFormatting sqref="N18:N25 N27:N52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{B4388010-9B82-489D-BA89-C1D63B59C963}</x14:id>
        </ext>
      </extLst>
    </cfRule>
  </conditionalFormatting>
  <conditionalFormatting sqref="N1:N25 N27:N104857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{C1EE7D97-B4E2-4115-8BE5-B48D58C5C42A}</x14:id>
        </ext>
      </extLst>
    </cfRule>
  </conditionalFormatting>
  <conditionalFormatting sqref="N1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{55B446F2-4F06-4EFB-839D-B3DC7F5C9151}</x14:id>
        </ext>
      </extLst>
    </cfRule>
  </conditionalFormatting>
  <conditionalFormatting sqref="N15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{8C0508C8-7BB8-499D-9590-B107B09A3771}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388010-9B82-489D-BA89-C1D63B59C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N18:N25 N27:N52</xm:sqref>
        </x14:conditionalFormatting>
        <x14:conditionalFormatting xmlns:xm="http://schemas.microsoft.com/office/excel/2006/main">
          <x14:cfRule type="dataBar" id="{C1EE7D97-B4E2-4115-8BE5-B48D58C5C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N1:N25 N27:N1048576</xm:sqref>
        </x14:conditionalFormatting>
        <x14:conditionalFormatting xmlns:xm="http://schemas.microsoft.com/office/excel/2006/main">
          <x14:cfRule type="dataBar" id="{55B446F2-4F06-4EFB-839D-B3DC7F5C91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8C0508C8-7BB8-499D-9590-B107B09A3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3</vt:i4>
      </vt:variant>
    </vt:vector>
  </HeadingPairs>
  <TitlesOfParts>
    <vt:vector size="8" baseType="lpstr">
      <vt:lpstr>HowTo</vt:lpstr>
      <vt:lpstr>data</vt:lpstr>
      <vt:lpstr>grafieken</vt:lpstr>
      <vt:lpstr>Blad1</vt:lpstr>
      <vt:lpstr>2610 interesting poznan measure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2017-12-03T11:35:56Z</dcterms:modified>
</cp:coreProperties>
</file>